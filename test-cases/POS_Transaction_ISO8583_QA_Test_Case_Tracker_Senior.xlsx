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"/>
    </mc:Choice>
  </mc:AlternateContent>
  <xr:revisionPtr revIDLastSave="0" documentId="13_ncr:1_{77ED3758-0D5E-4B3B-A511-CB4EB2A72781}" xr6:coauthVersionLast="47" xr6:coauthVersionMax="47" xr10:uidLastSave="{00000000-0000-0000-0000-000000000000}"/>
  <bookViews>
    <workbookView xWindow="28680" yWindow="-120" windowWidth="29040" windowHeight="15720" firstSheet="8" activeTab="13" xr2:uid="{00000000-000D-0000-FFFF-FFFF00000000}"/>
  </bookViews>
  <sheets>
    <sheet name="Summary" sheetId="1" r:id="rId1"/>
    <sheet name="README" sheetId="2" r:id="rId2"/>
    <sheet name="10_Authorization_Processing" sheetId="3" r:id="rId3"/>
    <sheet name="20_Reversal_Void" sheetId="4" r:id="rId4"/>
    <sheet name="30_Settlement_Reconciliation" sheetId="5" r:id="rId5"/>
    <sheet name="40_POS_Terminal_Entry_Modes" sheetId="6" r:id="rId6"/>
    <sheet name="50_Switch_Routing_Middleware" sheetId="7" r:id="rId7"/>
    <sheet name="60_Issuer_Host_Response" sheetId="8" r:id="rId8"/>
    <sheet name="70_Refunds_Adjustments" sheetId="9" r:id="rId9"/>
    <sheet name="80_Security_Compliance" sheetId="10" r:id="rId10"/>
    <sheet name="90_Monitoring_Audit_Trail" sheetId="11" r:id="rId11"/>
    <sheet name="100_Performance_Reliability" sheetId="12" r:id="rId12"/>
    <sheet name="110_E2E" sheetId="13" r:id="rId13"/>
    <sheet name="List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E29" i="1" s="1"/>
  <c r="B28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F23" i="1" s="1"/>
  <c r="E16" i="1"/>
  <c r="E23" i="1" s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D23" i="1" s="1"/>
  <c r="C12" i="1"/>
  <c r="C23" i="1" s="1"/>
  <c r="E28" i="1" s="1"/>
  <c r="E30" i="1" s="1"/>
  <c r="E32" i="1" l="1"/>
  <c r="E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Structured to mirror the user's existing multi-tab QA tracker pattern used in the printer firmware workbook.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References are included as plain URLs for portfolio context and further tailoring.</t>
        </r>
      </text>
    </comment>
  </commentList>
</comments>
</file>

<file path=xl/sharedStrings.xml><?xml version="1.0" encoding="utf-8"?>
<sst xmlns="http://schemas.openxmlformats.org/spreadsheetml/2006/main" count="989" uniqueCount="543">
  <si>
    <t>POS Transaction Flow (ISO8583-style) — QA Manual Test Case Tracker</t>
  </si>
  <si>
    <t>Manual QA test suite for POS / payments transaction lifecycle validation using the same multi-tab execution-tracker structure as the printer firmware portfolio.</t>
  </si>
  <si>
    <t>Workbook Controls</t>
  </si>
  <si>
    <t>Default Status</t>
  </si>
  <si>
    <t>Not Run</t>
  </si>
  <si>
    <t>Default Priority</t>
  </si>
  <si>
    <t>High</t>
  </si>
  <si>
    <t>Portfolio Owner</t>
  </si>
  <si>
    <t>Ramon Tan Jr.</t>
  </si>
  <si>
    <t>Primary Domain</t>
  </si>
  <si>
    <t>Payments QA / POS / ISO8583-style Transaction Flow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</si>
  <si>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</si>
  <si>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</si>
  <si>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</si>
  <si>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</si>
  <si>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</si>
  <si>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</si>
  <si>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</si>
  <si>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Authorization Processing</t>
  </si>
  <si>
    <t>10_Authorization_Processing</t>
  </si>
  <si>
    <t>Reversal and Void Handling</t>
  </si>
  <si>
    <t>20_Reversal_Void</t>
  </si>
  <si>
    <t>Settlement and Reconciliation</t>
  </si>
  <si>
    <t>30_Settlement_Reconciliation</t>
  </si>
  <si>
    <t>POS Terminal and Entry Modes</t>
  </si>
  <si>
    <t>40_POS_Terminal_Entry_Modes</t>
  </si>
  <si>
    <t>Switch Routing and Middleware</t>
  </si>
  <si>
    <t>50_Switch_Routing_Middleware</t>
  </si>
  <si>
    <t>Issuer and Host Response Handling</t>
  </si>
  <si>
    <t>60_Issuer_Host_Response</t>
  </si>
  <si>
    <t>Refunds and Adjustments</t>
  </si>
  <si>
    <t>70_Refunds_Adjustments</t>
  </si>
  <si>
    <t>Security and Compliance</t>
  </si>
  <si>
    <t>80_Security_Compliance</t>
  </si>
  <si>
    <t>Monitoring and Audit Trail</t>
  </si>
  <si>
    <t>90_Monitoring_Audit_Trail</t>
  </si>
  <si>
    <t>Performance and Reliability</t>
  </si>
  <si>
    <t>100_Performance_Reliability</t>
  </si>
  <si>
    <t>End-to-End</t>
  </si>
  <si>
    <t>110_E2E</t>
  </si>
  <si>
    <t>Total</t>
  </si>
  <si>
    <t>Execution Status</t>
  </si>
  <si>
    <t>Status</t>
  </si>
  <si>
    <t>Count</t>
  </si>
  <si>
    <t/>
  </si>
  <si>
    <t>Metric</t>
  </si>
  <si>
    <t>Value</t>
  </si>
  <si>
    <t>Total Test Cases</t>
  </si>
  <si>
    <t>Pass</t>
  </si>
  <si>
    <t>Executed Cases</t>
  </si>
  <si>
    <t>Fail</t>
  </si>
  <si>
    <t>Execution %</t>
  </si>
  <si>
    <t>Blocked</t>
  </si>
  <si>
    <t>Pass Rate</t>
  </si>
  <si>
    <t>Fail Rate</t>
  </si>
  <si>
    <t>POS Transaction Flow (ISO8583-style) — QA Manual Test Pack</t>
  </si>
  <si>
    <t>Purpose</t>
  </si>
  <si>
    <t>Provide reusable sample manual test cases for POS payment transaction lifecycle validation, including authorization, declines, reversals, settlement, reconciliation, monitoring, security, performance, and end-to-end flows.</t>
  </si>
  <si>
    <t>How to use</t>
  </si>
  <si>
    <t>Open each module sheet and update Status and Notes during execution. Summary KPIs and module counts refresh automatically.</t>
  </si>
  <si>
    <t>Important note</t>
  </si>
  <si>
    <t>These are sample QA scenarios for portfolio use and should be tailored to your target terminal fleet, switch behavior, acquiring/issuer rules, settlement process, security requirements, and release criteria.</t>
  </si>
  <si>
    <t>Default status</t>
  </si>
  <si>
    <t>Default priority</t>
  </si>
  <si>
    <t>Primary domain</t>
  </si>
  <si>
    <t>Suggested stack</t>
  </si>
  <si>
    <t>Postman + SQL + Playwright/Cypress + log tracing + payment simulators / switch tools</t>
  </si>
  <si>
    <t>Reference</t>
  </si>
  <si>
    <t>URL</t>
  </si>
  <si>
    <t>Notes</t>
  </si>
  <si>
    <t>ISO 8583 overview</t>
  </si>
  <si>
    <t>https://en.wikipedia.org/wiki/ISO_8583</t>
  </si>
  <si>
    <t>Message structure, MTI, fields, response codes, and POS context</t>
  </si>
  <si>
    <t>EMV specifications overview</t>
  </si>
  <si>
    <t>https://www.emvco.com/what-are-emv-specifications/</t>
  </si>
  <si>
    <t>Chip/contactless payments background and specification context</t>
  </si>
  <si>
    <t>PCI DSS</t>
  </si>
  <si>
    <t>https://www.pcisecuritystandards.org/standards/pci-dss/</t>
  </si>
  <si>
    <t>Payment data security controls and expectations</t>
  </si>
  <si>
    <t>OWASP API Security</t>
  </si>
  <si>
    <t>https://owasp.org/API-Security/</t>
  </si>
  <si>
    <t>API security risk reference for transaction services</t>
  </si>
  <si>
    <t>Postman test scripts</t>
  </si>
  <si>
    <t>https://learning.postman.com/docs/tests-and-scripts/write-scripts/test-scripts/</t>
  </si>
  <si>
    <t>API response assertions and workflow scripting reference</t>
  </si>
  <si>
    <t>POS Transaction Flow — Authorization Processing</t>
  </si>
  <si>
    <t>Update the Status and Notes columns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</si>
  <si>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</si>
  <si>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</si>
  <si>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</si>
  <si>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</si>
  <si>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</si>
  <si>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</si>
  <si>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</si>
  <si>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</si>
  <si>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</si>
  <si>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AUTH-001</t>
  </si>
  <si>
    <t>Approved chip purchase authorization returns success response</t>
  </si>
  <si>
    <t>POS terminal is active, switch is reachable, issuer host is online, and valid chip card test profile is available.</t>
  </si>
  <si>
    <t>1. Initiate purchase on POS terminal
2. Enter valid amount
3. Insert chip card and confirm transaction
4. Capture outbound request at switch
5. Verify host response and terminal result</t>
  </si>
  <si>
    <t>MTI 0100; Card 541333******1111; Amount 1500; STAN 123456; Entry Mode 051; Terminal TERM0001; Merchant MERCH001</t>
  </si>
  <si>
    <t>Transaction is accepted, response code is 00, approval data is returned, transaction status becomes APPROVED, and record is eligible for settlement.</t>
  </si>
  <si>
    <t>Critical</t>
  </si>
  <si>
    <t>Integration</t>
  </si>
  <si>
    <t>Yes</t>
  </si>
  <si>
    <t>Baseline approval path</t>
  </si>
  <si>
    <t>AUTH-002</t>
  </si>
  <si>
    <t>Issuer decline is propagated correctly without creating settlement-eligible record</t>
  </si>
  <si>
    <t>Decline test profile is configured at issuer or simulator.</t>
  </si>
  <si>
    <t>1. Initiate purchase
2. Submit authorization with decline profile
3. Review terminal display, switch log, and stored transaction record</t>
  </si>
  <si>
    <t>MTI 0100; Card 541333******2222; Amount 5000; STAN 123457; Response Code 05 expected</t>
  </si>
  <si>
    <t>Terminal shows decline result, response code is preserved, no approval artefact is stored, and transaction is excluded from settlement.</t>
  </si>
  <si>
    <t>Negative</t>
  </si>
  <si>
    <t>Issuer decline handling</t>
  </si>
  <si>
    <t>AUTH-003</t>
  </si>
  <si>
    <t>Invalid amount format fails validation before approval request is processed</t>
  </si>
  <si>
    <t>Field validation is enabled in switch or middleware.</t>
  </si>
  <si>
    <t>1. Build authorization request with malformed amount field
2. Submit request
3. Review validation response and transaction log</t>
  </si>
  <si>
    <t>Amount ABC1500 or invalid field length; MTI 0100; STAN 123458</t>
  </si>
  <si>
    <t>Request is rejected or flagged, no approved transaction is created, and validation error is logged for investigation.</t>
  </si>
  <si>
    <t>Field Validation</t>
  </si>
  <si>
    <t>Amount validation</t>
  </si>
  <si>
    <t>AUTH-004</t>
  </si>
  <si>
    <t>Expired card scenario returns controlled decline with accurate transaction state</t>
  </si>
  <si>
    <t>Expired card test profile is available in host simulator.</t>
  </si>
  <si>
    <t>1. Start purchase
2. Use expired card profile
3. Submit request
4. Compare terminal message, response code, and back-end record</t>
  </si>
  <si>
    <t>Card 541333******3333; Amount 2200; STAN 123459</t>
  </si>
  <si>
    <t>Transaction is declined due to card status, terminal does not show approval, and no downstream settlement eligibility is created.</t>
  </si>
  <si>
    <t>Card validity rule</t>
  </si>
  <si>
    <t>AUTH-005</t>
  </si>
  <si>
    <t>Duplicate STAN submission does not create double financial posting</t>
  </si>
  <si>
    <t>Original transaction with same STAN already exists and duplicate controls are enabled.</t>
  </si>
  <si>
    <t>1. Submit initial approved transaction
2. Resend same request with same STAN and amount
3. Compare transaction store and settlement eligibility</t>
  </si>
  <si>
    <t>STAN 123460; Amount 1500; Terminal TERM0001; Merchant MERCH001</t>
  </si>
  <si>
    <t>Duplicate is detected and second request is rejected, linked, or routed to review without creating duplicate posting.</t>
  </si>
  <si>
    <t>Duplicate protection</t>
  </si>
  <si>
    <t>AUTH-006</t>
  </si>
  <si>
    <t>Terminal retry after temporary communication issue preserves a single final financial outcome</t>
  </si>
  <si>
    <t>Transient network delay can be simulated between terminal and switch.</t>
  </si>
  <si>
    <t>1. Start purchase
2. Simulate communication interruption after request submission
3. Retry transaction from terminal
4. Review message correlation and final financial state</t>
  </si>
  <si>
    <t>Amount 1800; STAN 123461; Terminal TERM0002</t>
  </si>
  <si>
    <t>System preserves one final valid outcome, avoids duplicate approval, and retains clear traceability for original and retry attempts.</t>
  </si>
  <si>
    <t>Regression</t>
  </si>
  <si>
    <t>Later</t>
  </si>
  <si>
    <t>Retry control</t>
  </si>
  <si>
    <t>POS Transaction Flow — Reversal and Void Handling</t>
  </si>
  <si>
    <t>REV-001</t>
  </si>
  <si>
    <t>Auto-reversal is triggered after authorization timeout</t>
  </si>
  <si>
    <t>Timeout behavior is enabled and original transaction can be held in unknown result state.</t>
  </si>
  <si>
    <t>1. Submit purchase authorization
2. Simulate delayed or missing host response
3. Wait for timeout handling
4. Verify reversal request and final transaction state</t>
  </si>
  <si>
    <t>Original STAN 223456; Reversal MTI 0400; Terminal TERM0003</t>
  </si>
  <si>
    <t>System generates reversal referencing the original transaction, records reversal outcome, and prevents unresolved transaction from being treated as approved.</t>
  </si>
  <si>
    <t>Timeout recovery</t>
  </si>
  <si>
    <t>REV-002</t>
  </si>
  <si>
    <t>Manual void of same-day approved transaction updates status safely before settlement</t>
  </si>
  <si>
    <t>Approved transaction exists and business rules allow same-day void.</t>
  </si>
  <si>
    <t>1. Retrieve approved transaction
2. Trigger manual void or reversal action
3. Validate reversal response and updated transaction status
4. Review settlement eligibility</t>
  </si>
  <si>
    <t>Original Transaction TXN0004; STAN 223457; Amount 1000</t>
  </si>
  <si>
    <t>Original transaction is voided or reversed per rules, status is updated consistently, and item is excluded from settlement totals.</t>
  </si>
  <si>
    <t>Manual void path</t>
  </si>
  <si>
    <t>REV-003</t>
  </si>
  <si>
    <t>Reversal request referencing unknown original transaction is rejected</t>
  </si>
  <si>
    <t>No matching original transaction exists in data store.</t>
  </si>
  <si>
    <t>1. Submit reversal request for non-existent original reference
2. Review switch validation, host response, and audit log</t>
  </si>
  <si>
    <t>Original STAN 999999; Terminal TERM0009</t>
  </si>
  <si>
    <t>Reversal is rejected or routed to exception handling, unrelated transactions are not altered, and audit evidence is retained.</t>
  </si>
  <si>
    <t>Invalid reference</t>
  </si>
  <si>
    <t>REV-004</t>
  </si>
  <si>
    <t>Duplicate reversal request is handled idempotently</t>
  </si>
  <si>
    <t>One successful reversal already exists for the original transaction.</t>
  </si>
  <si>
    <t>1. Process valid reversal
2. Resubmit same reversal request
3. Compare final transaction state and downstream records</t>
  </si>
  <si>
    <t>Original STAN 223458; Reversal Reference reused</t>
  </si>
  <si>
    <t>System identifies duplicate reversal, preserves correct final state, and avoids duplicate downstream reversal effects.</t>
  </si>
  <si>
    <t>Idempotency</t>
  </si>
  <si>
    <t>REV-005</t>
  </si>
  <si>
    <t>Reversed transaction remains excluded from settlement batch</t>
  </si>
  <si>
    <t>Approved transaction has been reversed before batch cutoff.</t>
  </si>
  <si>
    <t>1. Create approved transaction
2. Reverse it before settlement
3. Execute settlement
4. Review settlement extract and totals</t>
  </si>
  <si>
    <t>Transaction TXN0005; STAN 223459; Batch Date T+0</t>
  </si>
  <si>
    <t>Reversed transaction is not included in settlement output and settlement total remains aligned with approved unreversed source records.</t>
  </si>
  <si>
    <t>Reconciliation</t>
  </si>
  <si>
    <t>Settlement exclusion</t>
  </si>
  <si>
    <t>REV-006</t>
  </si>
  <si>
    <t>Communication loss during reversal preserves safe exception status and audit trail</t>
  </si>
  <si>
    <t>Reversal can be interrupted between switch and host.</t>
  </si>
  <si>
    <t>1. Trigger reversal for approved transaction
2. Interrupt response path
3. Review transaction state, monitoring, and manual follow-up needs</t>
  </si>
  <si>
    <t>Original STAN 223460; Terminal TERM0002</t>
  </si>
  <si>
    <t>System does not mark reversal complete without confirmation, exposes exception state for review, and stores audit details for recovery.</t>
  </si>
  <si>
    <t>Operational resilience</t>
  </si>
  <si>
    <t>POS Transaction Flow — Settlement and Reconciliation</t>
  </si>
  <si>
    <t>SET-001</t>
  </si>
  <si>
    <t>Approved unreversed transactions are included in settlement batch</t>
  </si>
  <si>
    <t>Settlement process is available and approved unreversed transactions exist.</t>
  </si>
  <si>
    <t>1. Run settlement batch
2. Extract settlement output
3. Compare batch contents against source approved transactions</t>
  </si>
  <si>
    <t>Approved Transactions TXN1001 and TXN1004; Batch Date 2026-03-27</t>
  </si>
  <si>
    <t>Approved unreversed transactions are present in settlement output and counts and amounts align with source records.</t>
  </si>
  <si>
    <t>Core inclusion rule</t>
  </si>
  <si>
    <t>SET-002</t>
  </si>
  <si>
    <t>Declined transactions are excluded from settlement batch</t>
  </si>
  <si>
    <t>At least one declined transaction exists in transaction source.</t>
  </si>
  <si>
    <t>1. Execute settlement batch
2. Search batch output for declined item
3. Review batch totals</t>
  </si>
  <si>
    <t>Declined Transaction TXN1002; Response Code 05</t>
  </si>
  <si>
    <t>Declined transaction is absent from settlement output and does not affect any financial totals.</t>
  </si>
  <si>
    <t>Decline exclusion</t>
  </si>
  <si>
    <t>SET-003</t>
  </si>
  <si>
    <t>Reversed transactions are excluded from settlement totals</t>
  </si>
  <si>
    <t>Reversed transaction exists before batch execution.</t>
  </si>
  <si>
    <t>1. Execute settlement batch
2. Compare source transactions and batch output
3. Verify total calculation</t>
  </si>
  <si>
    <t>Reversed Transaction TXN1005; Amount 1000</t>
  </si>
  <si>
    <t>Reversed transaction is excluded from settlement batch and corresponding value is not counted in total.</t>
  </si>
  <si>
    <t>Reversal settlement rule</t>
  </si>
  <si>
    <t>SET-004</t>
  </si>
  <si>
    <t>Settlement totals match approved unreversed source transactions</t>
  </si>
  <si>
    <t>Source transactions and settlement extract are both available for reconciliation.</t>
  </si>
  <si>
    <t>1. Sum approved unreversed amounts in source data
2. Sum batch amounts
3. Compare record count and value totals
4. Review discrepancy report if any</t>
  </si>
  <si>
    <t>Source Total vs Settled Total</t>
  </si>
  <si>
    <t>Record counts and amounts match between source and settlement, with no unexplained variance.</t>
  </si>
  <si>
    <t>Primary reconciliation KPI</t>
  </si>
  <si>
    <t>SET-005</t>
  </si>
  <si>
    <t>Missing approved transaction is detected during reconciliation</t>
  </si>
  <si>
    <t>One approved transaction is intentionally omitted from settlement output for defect simulation.</t>
  </si>
  <si>
    <t>1. Prepare mismatch dataset
2. Run reconciliation check
3. Review discrepancy results</t>
  </si>
  <si>
    <t>Missing Approved Transaction TXN1006; Amount 2400</t>
  </si>
  <si>
    <t>Reconciliation detects missing approved item and reports discrepancy clearly for investigation and sign-off.</t>
  </si>
  <si>
    <t>Gap detection</t>
  </si>
  <si>
    <t>SET-006</t>
  </si>
  <si>
    <t>Duplicate settlement line item is identified before financial sign-off</t>
  </si>
  <si>
    <t>Settlement extract contains duplicated transaction line for same business key.</t>
  </si>
  <si>
    <t>1. Load settlement extract with duplicate line
2. Run duplicate detection check
3. Review exception report</t>
  </si>
  <si>
    <t>Transaction TXN1007 duplicated; STAN 323461</t>
  </si>
  <si>
    <t>Duplicate settlement line is identified, flagged, and prevented from being accepted as a valid final batch result.</t>
  </si>
  <si>
    <t>Data Integrity</t>
  </si>
  <si>
    <t>Duplicate settlement control</t>
  </si>
  <si>
    <t>POS Transaction Flow — POS Terminal and Entry Modes</t>
  </si>
  <si>
    <t>POS-001</t>
  </si>
  <si>
    <t>Chip entry transaction captures expected POS entry mode and terminal attributes</t>
  </si>
  <si>
    <t>Terminal supports chip transactions and logging of message fields is enabled.</t>
  </si>
  <si>
    <t>1. Insert chip card
2. Start purchase
3. Submit transaction
4. Inspect outbound request fields</t>
  </si>
  <si>
    <t>Entry Mode 051 expected; Terminal TERM0001; Merchant MERCH001</t>
  </si>
  <si>
    <t>Authorization request contains expected entry mode, terminal ID, and merchant ID values aligned with actual capture method.</t>
  </si>
  <si>
    <t>Chip path</t>
  </si>
  <si>
    <t>POS-002</t>
  </si>
  <si>
    <t>Fallback from chip to swipe is logged and flagged according to terminal rules</t>
  </si>
  <si>
    <t>Chip read failure or fallback simulation is available.</t>
  </si>
  <si>
    <t>1. Start chip transaction
2. Force chip read failure
3. Complete transaction via magnetic stripe fallback
4. Review message fields and audit trail</t>
  </si>
  <si>
    <t>Fallback scenario; STAN 423457</t>
  </si>
  <si>
    <t>Transaction reflects fallback entry behavior correctly and audit trail indicates fallback condition for review or analytics.</t>
  </si>
  <si>
    <t>Fallback handling</t>
  </si>
  <si>
    <t>POS-003</t>
  </si>
  <si>
    <t>Manual keyed entry requires additional validation and remains traceable</t>
  </si>
  <si>
    <t>Manual entry mode is enabled for test merchant profile.</t>
  </si>
  <si>
    <t>1. Start keyed transaction
2. Enter PAN manually using test profile
3. Submit request
4. Review field set and outcome</t>
  </si>
  <si>
    <t>Entry Mode Manual; Amount 1300; STAN 423458</t>
  </si>
  <si>
    <t>Keyed transaction contains appropriate entry mode, additional validation is applied, and result is stored with clear traceability.</t>
  </si>
  <si>
    <t>Medium</t>
  </si>
  <si>
    <t>Manual entry path</t>
  </si>
  <si>
    <t>POS-004</t>
  </si>
  <si>
    <t>Contactless tap transaction is processed with correct amount and response handling</t>
  </si>
  <si>
    <t>Terminal supports contactless and test card profile is available.</t>
  </si>
  <si>
    <t>1. Initiate purchase
2. Tap card
3. Submit transaction
4. Review terminal output and message logs</t>
  </si>
  <si>
    <t>Contactless test card; Amount 950; STAN 423459</t>
  </si>
  <si>
    <t>Transaction completes with correct amount, expected entry mode, and response consistency across terminal and back-end logs.</t>
  </si>
  <si>
    <t>Tap flow</t>
  </si>
  <si>
    <t>POS-005</t>
  </si>
  <si>
    <t>Terminal offline condition does not falsely display approved outcome</t>
  </si>
  <si>
    <t>Terminal can be isolated from switch or host during authorization.</t>
  </si>
  <si>
    <t>1. Disconnect terminal from network path
2. Attempt purchase
3. Review terminal outcome and stored transaction state</t>
  </si>
  <si>
    <t>Amount 1100; Terminal TERM0004 offline</t>
  </si>
  <si>
    <t>System does not present false approval, and transaction remains safely failed, queued, or exceptioned according to design.</t>
  </si>
  <si>
    <t>No</t>
  </si>
  <si>
    <t>Offline safety</t>
  </si>
  <si>
    <t>POS-006</t>
  </si>
  <si>
    <t>Receipt and transaction log show consistent amount, status, and identifiers</t>
  </si>
  <si>
    <t>Printer/receipt output and transaction logs are both available for comparison.</t>
  </si>
  <si>
    <t>1. Run purchase transaction
2. Capture receipt
3. Compare receipt to stored transaction record</t>
  </si>
  <si>
    <t>Transaction with approval or decline; STAN 423460</t>
  </si>
  <si>
    <t>Receipt, terminal display, and stored record agree on amount, outcome, and core identifiers without contradiction.</t>
  </si>
  <si>
    <t>Customer-facing consistency</t>
  </si>
  <si>
    <t>POS Transaction Flow — Switch Routing and Middleware</t>
  </si>
  <si>
    <t>SWT-001</t>
  </si>
  <si>
    <t>Required core fields are validated before request is routed to host</t>
  </si>
  <si>
    <t>Field validation is active in switch layer.</t>
  </si>
  <si>
    <t>1. Build standard purchase request
2. Submit through switch
3. Inspect validation logs and routed message</t>
  </si>
  <si>
    <t>MTI, amount, STAN, terminal ID, merchant ID, processing code</t>
  </si>
  <si>
    <t>Switch validates required fields before forwarding and rejects malformed request without unsafe routing.</t>
  </si>
  <si>
    <t>Field gate</t>
  </si>
  <si>
    <t>SWT-002</t>
  </si>
  <si>
    <t>Transaction is routed to correct downstream host based on merchant and terminal profile</t>
  </si>
  <si>
    <t>Routing table contains at least two target host profiles for test.</t>
  </si>
  <si>
    <t>1. Submit transactions for two merchant profiles
2. Capture routing decision
3. Compare actual route to expected configuration</t>
  </si>
  <si>
    <t>Merchant MERCH001 vs MERCH010; Terminal TERM0001 vs TERM0010</t>
  </si>
  <si>
    <t>Each request is routed to the expected host or simulator based on configured profile without cross-routing.</t>
  </si>
  <si>
    <t>Routing logic</t>
  </si>
  <si>
    <t>SWT-003</t>
  </si>
  <si>
    <t>Unknown terminal or merchant profile is rejected prior to host forwarding</t>
  </si>
  <si>
    <t>Switch profile validation is enabled and unsupported identifiers are available.</t>
  </si>
  <si>
    <t>1. Submit authorization with unsupported terminal or merchant
2. Review validation and downstream traffic</t>
  </si>
  <si>
    <t>Terminal TERM9999; Merchant MERCH999</t>
  </si>
  <si>
    <t>Unsupported request is rejected or quarantined and is not forwarded to host as a valid authorization attempt.</t>
  </si>
  <si>
    <t>Profile validation</t>
  </si>
  <si>
    <t>SWT-004</t>
  </si>
  <si>
    <t>Late host response is correlated back to the correct original transaction</t>
  </si>
  <si>
    <t>Response delay can be introduced after switch forwards request.</t>
  </si>
  <si>
    <t>1. Submit authorization
2. Delay host response
3. Observe terminal timeout or retry
4. Deliver late response
5. Review correlation outcome</t>
  </si>
  <si>
    <t>Original STAN 523458; Delayed response with same identifiers</t>
  </si>
  <si>
    <t>Late response is matched to the correct original transaction or handled safely according to timeout policy without corrupting another record.</t>
  </si>
  <si>
    <t>Late response correlation</t>
  </si>
  <si>
    <t>SWT-005</t>
  </si>
  <si>
    <t>Retry control prevents duplicate forwarding of same business transaction</t>
  </si>
  <si>
    <t>Retry logic exists between terminal and middleware.</t>
  </si>
  <si>
    <t>1. Submit transaction
2. Trigger retry from upstream
3. Inspect host forwarding count and final records</t>
  </si>
  <si>
    <t>Same amount, STAN, terminal, merchant replay</t>
  </si>
  <si>
    <t>Switch or middleware prevents unsafe duplicate forwarding and preserves one valid financial outcome or explicit review case.</t>
  </si>
  <si>
    <t>Forwarding dedupe</t>
  </si>
  <si>
    <t>SWT-006</t>
  </si>
  <si>
    <t>Middleware trace identifiers remain consistent across request, response, and monitoring</t>
  </si>
  <si>
    <t>Tracing or correlation IDs are enabled in logs.</t>
  </si>
  <si>
    <t>1. Submit transaction
2. Capture request log
3. Capture response log and monitoring event
4. Compare trace identifiers</t>
  </si>
  <si>
    <t>Trace ID / Correlation ID sample; STAN 523460</t>
  </si>
  <si>
    <t>Trace identifiers remain consistent and allow operators to follow one transaction across all relevant system components.</t>
  </si>
  <si>
    <t>Traceability</t>
  </si>
  <si>
    <t>POS Transaction Flow — Issuer and Host Response Handling</t>
  </si>
  <si>
    <t>HST-001</t>
  </si>
  <si>
    <t>Approved host response is propagated unchanged to terminal and transaction store</t>
  </si>
  <si>
    <t>Host simulator can return approval with standard response fields.</t>
  </si>
  <si>
    <t>1. Submit purchase authorization
2. Capture host approval
3. Compare terminal display and stored record</t>
  </si>
  <si>
    <t>Response Code 00; Approval A12345; STAN 623456</t>
  </si>
  <si>
    <t>Terminal and transaction store reflect same approved result, response code, and core identifiers without alteration.</t>
  </si>
  <si>
    <t>Approval propagation</t>
  </si>
  <si>
    <t>HST-002</t>
  </si>
  <si>
    <t>Decline code and user-facing result remain consistent across layers</t>
  </si>
  <si>
    <t>Host simulator can return decline code for controlled scenario.</t>
  </si>
  <si>
    <t>1. Submit authorization
2. Capture decline response
3. Compare terminal display, logs, and stored result</t>
  </si>
  <si>
    <t>Response Code 05 or 51; STAN 623457</t>
  </si>
  <si>
    <t>Decline code remains accurate across layers and UI does not imply approval or settlement eligibility.</t>
  </si>
  <si>
    <t>Decline consistency</t>
  </si>
  <si>
    <t>HST-003</t>
  </si>
  <si>
    <t>Response with mismatched STAN is rejected or routed to exception handling</t>
  </si>
  <si>
    <t>Switch can receive malformed or mismatched response from host simulator.</t>
  </si>
  <si>
    <t>1. Submit valid request
2. Return response with wrong STAN
3. Review correlation and exception handling</t>
  </si>
  <si>
    <t>Request STAN 623458; Response STAN 999998</t>
  </si>
  <si>
    <t>Mismatched response is not applied to original request and is surfaced for investigation through exception flow.</t>
  </si>
  <si>
    <t>Correlation safety</t>
  </si>
  <si>
    <t>HST-004</t>
  </si>
  <si>
    <t>Host unavailable condition returns actionable terminal error without false approval</t>
  </si>
  <si>
    <t>Host outage or network unavailability can be simulated.</t>
  </si>
  <si>
    <t>1. Disconnect host or block downstream path
2. Attempt purchase
3. Review terminal message and transaction state</t>
  </si>
  <si>
    <t>Host unavailable; STAN 623459</t>
  </si>
  <si>
    <t>System avoids false approval, exposes actionable retry or failure result, and preserves safe transaction state for operators.</t>
  </si>
  <si>
    <t>Outage handling</t>
  </si>
  <si>
    <t>HST-005</t>
  </si>
  <si>
    <t>Reversal response is linked to original transaction and reversal request correctly</t>
  </si>
  <si>
    <t>Original approved transaction and reversal flow are both available.</t>
  </si>
  <si>
    <t>1. Process approval
2. Send reversal
3. Capture reversal response
4. Review linkage across original and reversal records</t>
  </si>
  <si>
    <t>Original STAN 623460; Reversal Response 0410</t>
  </si>
  <si>
    <t>Reversal response is linked to the correct original transaction and reversal request with no cross-linking to unrelated records.</t>
  </si>
  <si>
    <t>Reversal linkage</t>
  </si>
  <si>
    <t>HST-006</t>
  </si>
  <si>
    <t>Unexpected or unsupported host response code is handled safely and visibly</t>
  </si>
  <si>
    <t>Host simulator can return unexpected response code for negative testing.</t>
  </si>
  <si>
    <t>1. Submit authorization
2. Return unsupported response code
3. Review terminal behavior, logging, and exception handling</t>
  </si>
  <si>
    <t>Unsupported Response Code 96 or custom private-use code</t>
  </si>
  <si>
    <t>System does not treat unexpected response as approval, logs exception details, and routes case for operator review or safe decline behavior.</t>
  </si>
  <si>
    <t>Unknown code handling</t>
  </si>
  <si>
    <t>POS Transaction Flow — Refunds and Adjustments</t>
  </si>
  <si>
    <t>RFD-001</t>
  </si>
  <si>
    <t>Refund for settled original transaction succeeds and remains traceable</t>
  </si>
  <si>
    <t>Original settled transaction exists and refund operation is permitted by merchant profile.</t>
  </si>
  <si>
    <t>1. Locate settled original transaction
2. Initiate refund
3. Review refund response and linked records
4. Confirm reporting visibility</t>
  </si>
  <si>
    <t>Original TXN2001; Refund Amount 700; Terminal TERM0001</t>
  </si>
  <si>
    <t>Refund is processed successfully, linked to original transaction, and recorded distinctly for settlement and audit purposes.</t>
  </si>
  <si>
    <t>Basic refund</t>
  </si>
  <si>
    <t>RFD-002</t>
  </si>
  <si>
    <t>Refund amount exceeding original transaction amount is blocked</t>
  </si>
  <si>
    <t>Original transaction amount is known and refund validation is enabled.</t>
  </si>
  <si>
    <t>1. Initiate refund using amount greater than original purchase
2. Submit request
3. Review response and stored outcome</t>
  </si>
  <si>
    <t>Original Amount 1200; Refund Attempt 1500</t>
  </si>
  <si>
    <t>Refund request is rejected according to business rule and no invalid financial adjustment is created.</t>
  </si>
  <si>
    <t>Amount limit</t>
  </si>
  <si>
    <t>RFD-003</t>
  </si>
  <si>
    <t>Refund for declined or non-existent original transaction is rejected</t>
  </si>
  <si>
    <t>Original declined record or missing record is available for test.</t>
  </si>
  <si>
    <t>1. Attempt refund against declined or unknown original reference
2. Review validation and downstream records</t>
  </si>
  <si>
    <t>Original TXN2002 declined or reference not found</t>
  </si>
  <si>
    <t>System rejects invalid refund target and preserves clean financial state and audit trail.</t>
  </si>
  <si>
    <t>Invalid refund target</t>
  </si>
  <si>
    <t>RFD-004</t>
  </si>
  <si>
    <t>Refund appears in downstream reporting and reconciliation as separate transaction type</t>
  </si>
  <si>
    <t>Refund has been processed successfully and reconciliation views are available.</t>
  </si>
  <si>
    <t>1. Process successful refund
2. Run downstream reporting or settlement extract
3. Verify refund classification and linkage</t>
  </si>
  <si>
    <t>Refund Transaction RFD2004; Original TXN2001</t>
  </si>
  <si>
    <t>Refund is visible as its own transaction type, linked to the original purchase, and included in reconciliation logic according to design.</t>
  </si>
  <si>
    <t>Reporting visibility</t>
  </si>
  <si>
    <t>RFD-005</t>
  </si>
  <si>
    <t>Duplicate refund request does not create double customer credit</t>
  </si>
  <si>
    <t>One successful refund already exists for the original transaction.</t>
  </si>
  <si>
    <t>1. Process refund successfully
2. Replay same refund request
3. Compare financial and audit records</t>
  </si>
  <si>
    <t>Original TXN2003; Refund Reference reused</t>
  </si>
  <si>
    <t>System prevents duplicate refund effect and preserves one valid financial adjustment with traceable history.</t>
  </si>
  <si>
    <t>Duplicate refund control</t>
  </si>
  <si>
    <t>POS Transaction Flow — Security and Compliance</t>
  </si>
  <si>
    <t>SEC-001</t>
  </si>
  <si>
    <t>PAN and other sensitive fields are masked in logs and evidence exports</t>
  </si>
  <si>
    <t>Application logs, reports, or screenshots are available for review.</t>
  </si>
  <si>
    <t>1. Execute payment transaction
2. Open system logs or exported evidence
3. Inspect sensitive fields</t>
  </si>
  <si>
    <t>PAN, token, or card-related fields in logs</t>
  </si>
  <si>
    <t>Sensitive values are masked or redacted according to security expectations and no full PAN is exposed in routine QA evidence.</t>
  </si>
  <si>
    <t>Security</t>
  </si>
  <si>
    <t>Data masking</t>
  </si>
  <si>
    <t>SEC-002</t>
  </si>
  <si>
    <t>Unauthorized user cannot access privileged transaction investigation screen</t>
  </si>
  <si>
    <t>Role-based access controls are configured with standard and privileged user accounts.</t>
  </si>
  <si>
    <t>1. Log in as non-privileged user
2. Attempt to open privileged transaction detail screen
3. Review response and audit log</t>
  </si>
  <si>
    <t>Standard user account; Protected route or page</t>
  </si>
  <si>
    <t>Access is denied appropriately and attempt is captured in audit or security logging if expected by design.</t>
  </si>
  <si>
    <t>Access control</t>
  </si>
  <si>
    <t>SEC-003</t>
  </si>
  <si>
    <t>Manual reversal or refund action is fully captured in audit trail</t>
  </si>
  <si>
    <t>Audit trail is enabled for user-initiated financial actions.</t>
  </si>
  <si>
    <t>1. Perform manual reversal or refund
2. Review audit trail entry
3. Validate actor, timestamp, and before/after state</t>
  </si>
  <si>
    <t>User ID, timestamp, transaction reference</t>
  </si>
  <si>
    <t>Audit trail captures who performed the action, when it occurred, and which transaction was affected with clear traceability.</t>
  </si>
  <si>
    <t>Audit completeness</t>
  </si>
  <si>
    <t>SEC-004</t>
  </si>
  <si>
    <t>Exported QA evidence excludes unnecessary cardholder data and secrets</t>
  </si>
  <si>
    <t>Test evidence export or reporting feature is available.</t>
  </si>
  <si>
    <t>1. Generate QA evidence export or report
2. Inspect file contents for sensitive data
3. Compare against expected masking policy</t>
  </si>
  <si>
    <t>CSV, PDF, or screenshot pack generated from test run</t>
  </si>
  <si>
    <t>Export excludes unnecessary cardholder data, session secrets, and protected authentication details while retaining useful QA evidence.</t>
  </si>
  <si>
    <t>Evidence hygiene</t>
  </si>
  <si>
    <t>SEC-005</t>
  </si>
  <si>
    <t>Invalid API token or session for transaction endpoint is rejected cleanly</t>
  </si>
  <si>
    <t>API or backend simulation endpoint is available for transaction calls.</t>
  </si>
  <si>
    <t>1. Submit transaction-related request with invalid token or expired session
2. Review response and logs</t>
  </si>
  <si>
    <t>Invalid Bearer token; Transaction API request</t>
  </si>
  <si>
    <t>System rejects unauthorized request, does not process transaction, and records security-relevant failure details appropriately.</t>
  </si>
  <si>
    <t>API auth control</t>
  </si>
  <si>
    <t>POS Transaction Flow — Monitoring and Audit Trail</t>
  </si>
  <si>
    <t>MON-001</t>
  </si>
  <si>
    <t>Status view reports approved, declined, and exception states consistently</t>
  </si>
  <si>
    <t>Transaction status dashboard or monitoring screen is available.</t>
  </si>
  <si>
    <t>1. Run one approved, one declined, and one exception scenario
2. Review status dashboard or log query</t>
  </si>
  <si>
    <t>Approved STAN 923451; Declined 923452; Exception 923453</t>
  </si>
  <si>
    <t>Monitoring surface reflects true lifecycle state for each transaction without stale or contradictory values.</t>
  </si>
  <si>
    <t>State accuracy</t>
  </si>
  <si>
    <t>MON-002</t>
  </si>
  <si>
    <t>Transaction history stores lifecycle events with stable identifiers</t>
  </si>
  <si>
    <t>History or event log screen is enabled for QA environment.</t>
  </si>
  <si>
    <t>1. Execute transaction with follow-on event such as reversal
2. Open history view
3. Verify identifiers and event order</t>
  </si>
  <si>
    <t>STAN 923454; Terminal TERM0003</t>
  </si>
  <si>
    <t>History shows original and follow-on events with stable IDs, timestamps, and clear ordering for investigation.</t>
  </si>
  <si>
    <t>Lifecycle trace</t>
  </si>
  <si>
    <t>MON-003</t>
  </si>
  <si>
    <t>Settlement mismatch generates visible alert or reconciliation exception</t>
  </si>
  <si>
    <t>Monitoring or reconciliation alerting is configured in environment or simulation.</t>
  </si>
  <si>
    <t>1. Introduce approved-vs-settlement mismatch
2. Run reconciliation
3. Observe monitoring or alerting output</t>
  </si>
  <si>
    <t>Missing TXN3003 in settlement extract</t>
  </si>
  <si>
    <t>Mismatch is surfaced through exception report, alert, or operational dashboard rather than remaining silent.</t>
  </si>
  <si>
    <t>Alert coverage</t>
  </si>
  <si>
    <t>MON-004</t>
  </si>
  <si>
    <t>Repeated reversal failures are visible for operational follow-up</t>
  </si>
  <si>
    <t>Reversal failure simulation is available and monitoring captures repeated exceptions.</t>
  </si>
  <si>
    <t>1. Trigger multiple reversal failures
2. Open monitoring view or log aggregation
3. Review grouping and counts</t>
  </si>
  <si>
    <t>Three failed reversals for same merchant profile</t>
  </si>
  <si>
    <t>Operational monitoring makes repeated failures visible so support teams can investigate systemic issue promptly.</t>
  </si>
  <si>
    <t>Supportability</t>
  </si>
  <si>
    <t>MON-005</t>
  </si>
  <si>
    <t>Search by STAN, terminal, and merchant returns correct transaction record</t>
  </si>
  <si>
    <t>Search or support lookup tool is enabled.</t>
  </si>
  <si>
    <t>1. Execute known transaction
2. Search by STAN
3. Search by terminal
4. Search by merchant
5. Compare results</t>
  </si>
  <si>
    <t>STAN 923455; Terminal TERM0001; Merchant MERCH001</t>
  </si>
  <si>
    <t>Search results consistently return the correct transaction record and do not confuse similar transactions.</t>
  </si>
  <si>
    <t>Support lookup</t>
  </si>
  <si>
    <t>POS Transaction Flow — Performance and Reliability</t>
  </si>
  <si>
    <t>PRF-001</t>
  </si>
  <si>
    <t>Sustained authorization run completes without crash or unstable state</t>
  </si>
  <si>
    <t>Environment can support repeated transaction execution for soak run.</t>
  </si>
  <si>
    <t>1. Execute repeated authorization transactions for agreed duration
2. Monitor errors, latency, and system stability
3. Review final health</t>
  </si>
  <si>
    <t>100 sequential purchase requests or 30-minute run</t>
  </si>
  <si>
    <t>System remains stable during sustained authorization activity and no severe crash, reset, or data corruption occurs.</t>
  </si>
  <si>
    <t>Performance</t>
  </si>
  <si>
    <t>Soak run</t>
  </si>
  <si>
    <t>PRF-002</t>
  </si>
  <si>
    <t>Settlement batch of representative volume completes within target window</t>
  </si>
  <si>
    <t>Batch job can be executed with realistic sample volume.</t>
  </si>
  <si>
    <t>1. Prepare representative batch dataset
2. Execute settlement job
3. Measure completion time and verify output</t>
  </si>
  <si>
    <t>1,000+ transaction sample batch</t>
  </si>
  <si>
    <t>Settlement completes within expected operational window and output remains accurate under representative load.</t>
  </si>
  <si>
    <t>Batch throughput</t>
  </si>
  <si>
    <t>PRF-003</t>
  </si>
  <si>
    <t>Repeated timeout and retry cycles do not corrupt transaction state</t>
  </si>
  <si>
    <t>Timeout and retry simulation is available for multiple iterations.</t>
  </si>
  <si>
    <t>1. Execute repeated timeout scenarios
2. Trigger retries according to design
3. Review final state distribution and logs</t>
  </si>
  <si>
    <t>10 repeated timeout/retry iterations</t>
  </si>
  <si>
    <t>No hidden approved duplicates or corrupted statuses appear after repeated timeout and retry behavior.</t>
  </si>
  <si>
    <t>State durability</t>
  </si>
  <si>
    <t>PRF-004</t>
  </si>
  <si>
    <t>Concurrent terminal activity preserves unique identifiers and consistent totals</t>
  </si>
  <si>
    <t>Multiple terminal sessions can submit transactions in parallel.</t>
  </si>
  <si>
    <t>1. Run transactions concurrently from multiple terminals
2. Capture identifiers and final records
3. Compare totals and uniqueness</t>
  </si>
  <si>
    <t>TERM0001 to TERM0005 parallel run</t>
  </si>
  <si>
    <t>STANs and correlation fields remain unique as designed and final totals remain consistent under concurrent activity.</t>
  </si>
  <si>
    <t>Concurrency</t>
  </si>
  <si>
    <t>PRF-005</t>
  </si>
  <si>
    <t>Service restart or recovery preserves pending and completed transaction integrity</t>
  </si>
  <si>
    <t>Controlled service restart can be executed during test window.</t>
  </si>
  <si>
    <t>1. Start transactions around restart window
2. Restart middleware or service
3. Review pending, approved, and settled states after recovery</t>
  </si>
  <si>
    <t>In-flight and completed transactions around restart event</t>
  </si>
  <si>
    <t>System recovers without losing committed outcomes or corrupting pending transaction traceability and exception handling.</t>
  </si>
  <si>
    <t>Recovery behavior</t>
  </si>
  <si>
    <t>POS Transaction Flow — End-to-End</t>
  </si>
  <si>
    <t>E2E-001</t>
  </si>
  <si>
    <t>Approved purchase flows correctly from terminal to settlement and reconciliation</t>
  </si>
  <si>
    <t>Terminal, switch, host, settlement, and reconciliation flow are all enabled in test environment.</t>
  </si>
  <si>
    <t>1. Initiate approved purchase on terminal
2. Verify host approval
3. Execute settlement batch
4. Run reconciliation
5. Compare full lifecycle records</t>
  </si>
  <si>
    <t>Card 541333******1111; Amount 1500; STAN 112345</t>
  </si>
  <si>
    <t>Transaction is approved, stored correctly, included in settlement, and reconciles end-to-end with no mismatches.</t>
  </si>
  <si>
    <t>E2E</t>
  </si>
  <si>
    <t>Primary business flow</t>
  </si>
  <si>
    <t>E2E-002</t>
  </si>
  <si>
    <t>Declined transaction is excluded from settlement and approved totals across all layers</t>
  </si>
  <si>
    <t>Decline host profile is available and downstream reporting is enabled.</t>
  </si>
  <si>
    <t>1. Initiate decline transaction
2. Review source record
3. Run settlement and reconciliation
4. Compare all downstream outputs</t>
  </si>
  <si>
    <t>Card 541333******2222; Amount 5000; STAN 112346</t>
  </si>
  <si>
    <t>Declined result is preserved consistently and excluded from settlement batch and approved-total reconciliation logic.</t>
  </si>
  <si>
    <t>Decline lifecycle</t>
  </si>
  <si>
    <t>E2E-003</t>
  </si>
  <si>
    <t>Timeout followed by reversal prevents incorrect settlement posting</t>
  </si>
  <si>
    <t>Timeout and reversal simulation is enabled across terminal and switch.</t>
  </si>
  <si>
    <t>1. Submit purchase
2. Force timeout condition
3. Trigger reversal
4. Run settlement
5. Validate monitoring and reconciliation</t>
  </si>
  <si>
    <t>Original STAN 112347; Reversal 0400/0410</t>
  </si>
  <si>
    <t>Timed-out transaction is reversed correctly, appears in exception or reversal history as expected, and does not post incorrectly to settlement.</t>
  </si>
  <si>
    <t>Recovery lifecycle</t>
  </si>
  <si>
    <t>E2E-004</t>
  </si>
  <si>
    <t>Approved purchase followed by refund is reflected accurately in reporting and audit trail</t>
  </si>
  <si>
    <t>Approved purchase and refund capabilities are both available.</t>
  </si>
  <si>
    <t>1. Execute approved purchase
2. Perform refund against original
3. Review reporting, reconciliation, and audit trail</t>
  </si>
  <si>
    <t>Original TXN4001; Refund TXN4002</t>
  </si>
  <si>
    <t>Purchase and refund remain linked, reporting reflects net effect appropriately, and audit trail captures both actions end-to-end.</t>
  </si>
  <si>
    <t>Lifecycle completeness</t>
  </si>
  <si>
    <t>Automation</t>
  </si>
  <si>
    <t>Positive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</si>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</sst>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10"/>
      <color rgb="FFFFFFFF"/>
      <name val="Calibri"/>
    </font>
    <font>
      <sz val="11"/>
      <color rgb="FF000000"/>
      <name val="Calibri"/>
    </font>
    <font>
      <sz val="11"/>
      <color rgb="FFC65911"/>
      <name val="Calibri"/>
    </font>
    <font>
      <sz val="11"/>
      <color rgb="FF7030A0"/>
      <name val="Calibri"/>
    </font>
    <font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left" vertical="top" wrapText="1"/>
    </xf>
    <xf numFmtId="0" fontId="3" fillId="5" borderId="0" xfId="0" applyFont="1" applyFill="1"/>
    <xf numFmtId="0" fontId="4" fillId="6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99"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487680</xdr:colOff>
      <xdr:row>39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3769FE1-77E7-F421-58F6-A4BD078DFC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487680</xdr:colOff>
      <xdr:row>32</xdr:row>
      <xdr:rowOff>76200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3210A8B7-711A-A16B-C05B-FE06EFA41E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XFD1048576"/>
    </sheetView>
  </sheetViews>
  <sheetFormatPr defaultRowHeight="14.4" x14ac:dyDescent="0.3"/>
  <cols>
    <col min="1" max="1" width="31.5546875" bestFit="1" customWidth="1"/>
    <col min="2" max="2" width="29.33203125" bestFit="1" customWidth="1"/>
    <col min="3" max="3" width="9.77734375" bestFit="1" customWidth="1"/>
    <col min="4" max="4" width="14.33203125" bestFit="1" customWidth="1"/>
    <col min="5" max="5" width="12.88671875" bestFit="1" customWidth="1"/>
    <col min="6" max="6" width="19.6640625" bestFit="1" customWidth="1"/>
    <col min="7" max="7" width="4" customWidth="1"/>
  </cols>
  <sheetData>
    <row r="1" spans="1:7" ht="18" x14ac:dyDescent="0.3">
      <c r="A1" s="18" t="s">
        <v>0</v>
      </c>
      <c r="B1" s="17"/>
      <c r="C1" s="17"/>
      <c r="D1" s="17"/>
      <c r="E1" s="17"/>
      <c r="F1" s="17"/>
      <c r="G1" s="17"/>
    </row>
    <row r="2" spans="1:7" x14ac:dyDescent="0.3">
      <c r="A2" s="16" t="s">
        <v>1</v>
      </c>
      <c r="B2" s="17"/>
      <c r="C2" s="17"/>
      <c r="D2" s="17"/>
      <c r="E2" s="17"/>
      <c r="F2" s="17"/>
      <c r="G2" s="17"/>
    </row>
    <row r="4" spans="1:7" x14ac:dyDescent="0.3">
      <c r="A4" s="1" t="s">
        <v>2</v>
      </c>
      <c r="B4" s="2"/>
      <c r="C4" s="2"/>
      <c r="D4" s="2"/>
      <c r="E4" s="2"/>
      <c r="F4" s="2"/>
    </row>
    <row r="5" spans="1:7" x14ac:dyDescent="0.3">
      <c r="A5" s="3" t="s">
        <v>3</v>
      </c>
      <c r="B5" s="4" t="s">
        <v>4</v>
      </c>
      <c r="C5" s="2"/>
      <c r="D5" s="2"/>
      <c r="E5" s="2"/>
      <c r="F5" s="2"/>
    </row>
    <row r="6" spans="1:7" x14ac:dyDescent="0.3">
      <c r="A6" s="3" t="s">
        <v>5</v>
      </c>
      <c r="B6" s="4" t="s">
        <v>6</v>
      </c>
      <c r="C6" s="2"/>
      <c r="D6" s="2"/>
      <c r="E6" s="2"/>
      <c r="F6" s="2"/>
    </row>
    <row r="7" spans="1:7" x14ac:dyDescent="0.3">
      <c r="A7" s="3" t="s">
        <v>7</v>
      </c>
      <c r="B7" s="5" t="s">
        <v>8</v>
      </c>
      <c r="C7" s="2"/>
      <c r="D7" s="2"/>
      <c r="E7" s="2"/>
      <c r="F7" s="2"/>
    </row>
    <row r="8" spans="1:7" ht="28.8" x14ac:dyDescent="0.3">
      <c r="A8" s="3" t="s">
        <v>9</v>
      </c>
      <c r="B8" s="5" t="s">
        <v>10</v>
      </c>
      <c r="C8" s="2"/>
      <c r="D8" s="2"/>
      <c r="E8" s="2"/>
      <c r="F8" s="2"/>
    </row>
    <row r="9" spans="1:7" x14ac:dyDescent="0.3">
      <c r="A9" s="2"/>
      <c r="B9" s="2"/>
      <c r="C9" s="2"/>
      <c r="D9" s="2"/>
      <c r="E9" s="2"/>
      <c r="F9" s="2"/>
    </row>
    <row r="10" spans="1:7" x14ac:dyDescent="0.3">
      <c r="A10" s="1" t="s">
        <v>11</v>
      </c>
      <c r="B10" s="2"/>
      <c r="C10" s="2"/>
      <c r="D10" s="2"/>
      <c r="E10" s="2"/>
      <c r="F10" s="2"/>
    </row>
    <row r="11" spans="1:7" x14ac:dyDescent="0.3">
      <c r="A11" s="6" t="s">
        <v>12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17</v>
      </c>
    </row>
    <row r="12" spans="1:7" x14ac:dyDescent="0.3">
      <c r="A12" s="7" t="s">
        <v>18</v>
      </c>
      <c r="B12" s="7" t="s">
        <v>19</v>
      </c>
      <c r="C12" s="8">
        <f>COUNTA('10_Authorization_Processing'!$A$4:$A$200)</f>
        <v>6</v>
      </c>
      <c r="D12" s="8">
        <f>COUNTIF('10_Authorization_Processing'!$H$4:$H$200,"Critical")+COUNTIF('10_Authorization_Processing'!$H$4:$H$200,"High")</f>
        <v>6</v>
      </c>
      <c r="E12" s="8">
        <f>COUNTIF('10_Authorization_Processing'!$I$4:$I$200,"Negative")</f>
        <v>3</v>
      </c>
      <c r="F12" s="8">
        <f>COUNTIF('10_Authorization_Processing'!$J$4:$J$200,"Yes")+COUNTIF('10_Authorization_Processing'!$J$4:$J$200,"Later")</f>
        <v>6</v>
      </c>
    </row>
    <row r="13" spans="1:7" x14ac:dyDescent="0.3">
      <c r="A13" s="7" t="s">
        <v>20</v>
      </c>
      <c r="B13" s="7" t="s">
        <v>21</v>
      </c>
      <c r="C13" s="8">
        <f>COUNTA('20_Reversal_Void'!$A$4:$A$200)</f>
        <v>6</v>
      </c>
      <c r="D13" s="8">
        <f>COUNTIF('20_Reversal_Void'!$H$4:$H$200,"Critical")+COUNTIF('20_Reversal_Void'!$H$4:$H$200,"High")</f>
        <v>6</v>
      </c>
      <c r="E13" s="8">
        <f>COUNTIF('20_Reversal_Void'!$I$4:$I$200,"Negative")</f>
        <v>3</v>
      </c>
      <c r="F13" s="8">
        <f>COUNTIF('20_Reversal_Void'!$J$4:$J$200,"Yes")+COUNTIF('20_Reversal_Void'!$J$4:$J$200,"Later")</f>
        <v>6</v>
      </c>
    </row>
    <row r="14" spans="1:7" x14ac:dyDescent="0.3">
      <c r="A14" s="7" t="s">
        <v>22</v>
      </c>
      <c r="B14" s="7" t="s">
        <v>23</v>
      </c>
      <c r="C14" s="8">
        <f>COUNTA('30_Settlement_Reconciliation'!$A$4:$A$200)</f>
        <v>6</v>
      </c>
      <c r="D14" s="8">
        <f>COUNTIF('30_Settlement_Reconciliation'!$H$4:$H$200,"Critical")+COUNTIF('30_Settlement_Reconciliation'!$H$4:$H$200,"High")</f>
        <v>6</v>
      </c>
      <c r="E14" s="8">
        <f>COUNTIF('30_Settlement_Reconciliation'!$I$4:$I$200,"Negative")</f>
        <v>2</v>
      </c>
      <c r="F14" s="8">
        <f>COUNTIF('30_Settlement_Reconciliation'!$J$4:$J$200,"Yes")+COUNTIF('30_Settlement_Reconciliation'!$J$4:$J$200,"Later")</f>
        <v>6</v>
      </c>
    </row>
    <row r="15" spans="1:7" x14ac:dyDescent="0.3">
      <c r="A15" s="7" t="s">
        <v>24</v>
      </c>
      <c r="B15" s="7" t="s">
        <v>25</v>
      </c>
      <c r="C15" s="8">
        <f>COUNTA('40_POS_Terminal_Entry_Modes'!$A$4:$A$200)</f>
        <v>6</v>
      </c>
      <c r="D15" s="8">
        <f>COUNTIF('40_POS_Terminal_Entry_Modes'!$H$4:$H$200,"Critical")+COUNTIF('40_POS_Terminal_Entry_Modes'!$H$4:$H$200,"High")</f>
        <v>4</v>
      </c>
      <c r="E15" s="8">
        <f>COUNTIF('40_POS_Terminal_Entry_Modes'!$I$4:$I$200,"Negative")</f>
        <v>2</v>
      </c>
      <c r="F15" s="8">
        <f>COUNTIF('40_POS_Terminal_Entry_Modes'!$J$4:$J$200,"Yes")+COUNTIF('40_POS_Terminal_Entry_Modes'!$J$4:$J$200,"Later")</f>
        <v>4</v>
      </c>
    </row>
    <row r="16" spans="1:7" x14ac:dyDescent="0.3">
      <c r="A16" s="7" t="s">
        <v>26</v>
      </c>
      <c r="B16" s="7" t="s">
        <v>27</v>
      </c>
      <c r="C16" s="8">
        <f>COUNTA('50_Switch_Routing_Middleware'!$A$4:$A$200)</f>
        <v>6</v>
      </c>
      <c r="D16" s="8">
        <f>COUNTIF('50_Switch_Routing_Middleware'!$H$4:$H$200,"Critical")+COUNTIF('50_Switch_Routing_Middleware'!$H$4:$H$200,"High")</f>
        <v>6</v>
      </c>
      <c r="E16" s="8">
        <f>COUNTIF('50_Switch_Routing_Middleware'!$I$4:$I$200,"Negative")</f>
        <v>2</v>
      </c>
      <c r="F16" s="8">
        <f>COUNTIF('50_Switch_Routing_Middleware'!$J$4:$J$200,"Yes")+COUNTIF('50_Switch_Routing_Middleware'!$J$4:$J$200,"Later")</f>
        <v>6</v>
      </c>
    </row>
    <row r="17" spans="1:6" x14ac:dyDescent="0.3">
      <c r="A17" s="7" t="s">
        <v>28</v>
      </c>
      <c r="B17" s="7" t="s">
        <v>29</v>
      </c>
      <c r="C17" s="8">
        <f>COUNTA('60_Issuer_Host_Response'!$A$4:$A$200)</f>
        <v>6</v>
      </c>
      <c r="D17" s="8">
        <f>COUNTIF('60_Issuer_Host_Response'!$H$4:$H$200,"Critical")+COUNTIF('60_Issuer_Host_Response'!$H$4:$H$200,"High")</f>
        <v>6</v>
      </c>
      <c r="E17" s="8">
        <f>COUNTIF('60_Issuer_Host_Response'!$I$4:$I$200,"Negative")</f>
        <v>4</v>
      </c>
      <c r="F17" s="8">
        <f>COUNTIF('60_Issuer_Host_Response'!$J$4:$J$200,"Yes")+COUNTIF('60_Issuer_Host_Response'!$J$4:$J$200,"Later")</f>
        <v>6</v>
      </c>
    </row>
    <row r="18" spans="1:6" x14ac:dyDescent="0.3">
      <c r="A18" s="7" t="s">
        <v>30</v>
      </c>
      <c r="B18" s="7" t="s">
        <v>31</v>
      </c>
      <c r="C18" s="8">
        <f>COUNTA('70_Refunds_Adjustments'!$A$4:$A$200)</f>
        <v>5</v>
      </c>
      <c r="D18" s="8">
        <f>COUNTIF('70_Refunds_Adjustments'!$H$4:$H$200,"Critical")+COUNTIF('70_Refunds_Adjustments'!$H$4:$H$200,"High")</f>
        <v>4</v>
      </c>
      <c r="E18" s="8">
        <f>COUNTIF('70_Refunds_Adjustments'!$I$4:$I$200,"Negative")</f>
        <v>3</v>
      </c>
      <c r="F18" s="8">
        <f>COUNTIF('70_Refunds_Adjustments'!$J$4:$J$200,"Yes")+COUNTIF('70_Refunds_Adjustments'!$J$4:$J$200,"Later")</f>
        <v>5</v>
      </c>
    </row>
    <row r="19" spans="1:6" x14ac:dyDescent="0.3">
      <c r="A19" s="7" t="s">
        <v>32</v>
      </c>
      <c r="B19" s="7" t="s">
        <v>33</v>
      </c>
      <c r="C19" s="8">
        <f>COUNTA('80_Security_Compliance'!$A$4:$A$200)</f>
        <v>5</v>
      </c>
      <c r="D19" s="8">
        <f>COUNTIF('80_Security_Compliance'!$H$4:$H$200,"Critical")+COUNTIF('80_Security_Compliance'!$H$4:$H$200,"High")</f>
        <v>5</v>
      </c>
      <c r="E19" s="8">
        <f>COUNTIF('80_Security_Compliance'!$I$4:$I$200,"Negative")</f>
        <v>0</v>
      </c>
      <c r="F19" s="8">
        <f>COUNTIF('80_Security_Compliance'!$J$4:$J$200,"Yes")+COUNTIF('80_Security_Compliance'!$J$4:$J$200,"Later")</f>
        <v>3</v>
      </c>
    </row>
    <row r="20" spans="1:6" x14ac:dyDescent="0.3">
      <c r="A20" s="7" t="s">
        <v>34</v>
      </c>
      <c r="B20" s="7" t="s">
        <v>35</v>
      </c>
      <c r="C20" s="8">
        <f>COUNTA('90_Monitoring_Audit_Trail'!$A$4:$A$200)</f>
        <v>5</v>
      </c>
      <c r="D20" s="8">
        <f>COUNTIF('90_Monitoring_Audit_Trail'!$H$4:$H$200,"Critical")+COUNTIF('90_Monitoring_Audit_Trail'!$H$4:$H$200,"High")</f>
        <v>3</v>
      </c>
      <c r="E20" s="8">
        <f>COUNTIF('90_Monitoring_Audit_Trail'!$I$4:$I$200,"Negative")</f>
        <v>2</v>
      </c>
      <c r="F20" s="8">
        <f>COUNTIF('90_Monitoring_Audit_Trail'!$J$4:$J$200,"Yes")+COUNTIF('90_Monitoring_Audit_Trail'!$J$4:$J$200,"Later")</f>
        <v>4</v>
      </c>
    </row>
    <row r="21" spans="1:6" x14ac:dyDescent="0.3">
      <c r="A21" s="7" t="s">
        <v>36</v>
      </c>
      <c r="B21" s="7" t="s">
        <v>37</v>
      </c>
      <c r="C21" s="8">
        <f>COUNTA('100_Performance_Reliability'!$A$4:$A$200)</f>
        <v>5</v>
      </c>
      <c r="D21" s="8">
        <f>COUNTIF('100_Performance_Reliability'!$H$4:$H$200,"Critical")+COUNTIF('100_Performance_Reliability'!$H$4:$H$200,"High")</f>
        <v>5</v>
      </c>
      <c r="E21" s="8">
        <f>COUNTIF('100_Performance_Reliability'!$I$4:$I$200,"Negative")</f>
        <v>0</v>
      </c>
      <c r="F21" s="8">
        <f>COUNTIF('100_Performance_Reliability'!$J$4:$J$200,"Yes")+COUNTIF('100_Performance_Reliability'!$J$4:$J$200,"Later")</f>
        <v>4</v>
      </c>
    </row>
    <row r="22" spans="1:6" x14ac:dyDescent="0.3">
      <c r="A22" s="7" t="s">
        <v>38</v>
      </c>
      <c r="B22" s="7" t="s">
        <v>39</v>
      </c>
      <c r="C22" s="8">
        <f>COUNTA('110_E2E'!$A$4:$A$200)</f>
        <v>4</v>
      </c>
      <c r="D22" s="8">
        <f>COUNTIF('110_E2E'!$H$4:$H$200,"Critical")+COUNTIF('110_E2E'!$H$4:$H$200,"High")</f>
        <v>4</v>
      </c>
      <c r="E22" s="8">
        <f>COUNTIF('110_E2E'!$I$4:$I$200,"Negative")</f>
        <v>0</v>
      </c>
      <c r="F22" s="8">
        <f>COUNTIF('110_E2E'!$J$4:$J$200,"Yes")+COUNTIF('110_E2E'!$J$4:$J$200,"Later")</f>
        <v>4</v>
      </c>
    </row>
    <row r="23" spans="1:6" x14ac:dyDescent="0.3">
      <c r="A23" s="9" t="s">
        <v>40</v>
      </c>
      <c r="B23" s="9"/>
      <c r="C23" s="10">
        <f>SUM(C12:C22)</f>
        <v>60</v>
      </c>
      <c r="D23" s="10">
        <f>SUM(D12:D22)</f>
        <v>55</v>
      </c>
      <c r="E23" s="10">
        <f>SUM(E12:E22)</f>
        <v>21</v>
      </c>
      <c r="F23" s="10">
        <f>SUM(F12:F22)</f>
        <v>54</v>
      </c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1" t="s">
        <v>41</v>
      </c>
      <c r="B26" s="2"/>
      <c r="C26" s="2"/>
      <c r="D26" s="2"/>
      <c r="E26" s="2"/>
      <c r="F26" s="2"/>
    </row>
    <row r="27" spans="1:6" x14ac:dyDescent="0.3">
      <c r="A27" s="6" t="s">
        <v>42</v>
      </c>
      <c r="B27" s="6" t="s">
        <v>43</v>
      </c>
      <c r="C27" s="2" t="s">
        <v>44</v>
      </c>
      <c r="D27" s="6" t="s">
        <v>45</v>
      </c>
      <c r="E27" s="6" t="s">
        <v>46</v>
      </c>
      <c r="F27" s="2"/>
    </row>
    <row r="28" spans="1:6" ht="28.8" x14ac:dyDescent="0.3">
      <c r="A28" s="7" t="s">
        <v>4</v>
      </c>
      <c r="B28" s="7">
        <f>COUNTIF('10_Authorization_Processing'!$K$4:$K$200,"Not Run")+COUNTIF('20_Reversal_Void'!$K$4:$K$200,"Not Run")+COUNTIF('30_Settlement_Reconciliation'!$K$4:$K$200,"Not Run")+COUNTIF('40_POS_Terminal_Entry_Modes'!$K$4:$K$200,"Not Run")+COUNTIF('50_Switch_Routing_Middleware'!$K$4:$K$200,"Not Run")+COUNTIF('60_Issuer_Host_Response'!$K$4:$K$200,"Not Run")+COUNTIF('70_Refunds_Adjustments'!$K$4:$K$200,"Not Run")+COUNTIF('80_Security_Compliance'!$K$4:$K$200,"Not Run")+COUNTIF('90_Monitoring_Audit_Trail'!$K$4:$K$200,"Not Run")+COUNTIF('100_Performance_Reliability'!$K$4:$K$200,"Not Run")+COUNTIF('110_E2E'!$K$4:$K$200,"Not Run")</f>
        <v>60</v>
      </c>
      <c r="C28" s="2"/>
      <c r="D28" s="7" t="s">
        <v>47</v>
      </c>
      <c r="E28" s="7">
        <f>C23</f>
        <v>60</v>
      </c>
      <c r="F28" s="2"/>
    </row>
    <row r="29" spans="1:6" x14ac:dyDescent="0.3">
      <c r="A29" s="7" t="s">
        <v>48</v>
      </c>
      <c r="B29" s="7">
        <f>COUNTIF('10_Authorization_Processing'!$K$4:$K$200,"Pass")+COUNTIF('20_Reversal_Void'!$K$4:$K$200,"Pass")+COUNTIF('30_Settlement_Reconciliation'!$K$4:$K$200,"Pass")+COUNTIF('40_POS_Terminal_Entry_Modes'!$K$4:$K$200,"Pass")+COUNTIF('50_Switch_Routing_Middleware'!$K$4:$K$200,"Pass")+COUNTIF('60_Issuer_Host_Response'!$K$4:$K$200,"Pass")+COUNTIF('70_Refunds_Adjustments'!$K$4:$K$200,"Pass")+COUNTIF('80_Security_Compliance'!$K$4:$K$200,"Pass")+COUNTIF('90_Monitoring_Audit_Trail'!$K$4:$K$200,"Pass")+COUNTIF('100_Performance_Reliability'!$K$4:$K$200,"Pass")+COUNTIF('110_E2E'!$K$4:$K$200,"Pass")</f>
        <v>0</v>
      </c>
      <c r="C29" s="2"/>
      <c r="D29" s="7" t="s">
        <v>49</v>
      </c>
      <c r="E29" s="7">
        <f>SUM(B29:B31)</f>
        <v>0</v>
      </c>
      <c r="F29" s="2"/>
    </row>
    <row r="30" spans="1:6" x14ac:dyDescent="0.3">
      <c r="A30" s="7" t="s">
        <v>50</v>
      </c>
      <c r="B30" s="7">
        <f>COUNTIF('10_Authorization_Processing'!$K$4:$K$200,"Fail")+COUNTIF('20_Reversal_Void'!$K$4:$K$200,"Fail")+COUNTIF('30_Settlement_Reconciliation'!$K$4:$K$200,"Fail")+COUNTIF('40_POS_Terminal_Entry_Modes'!$K$4:$K$200,"Fail")+COUNTIF('50_Switch_Routing_Middleware'!$K$4:$K$200,"Fail")+COUNTIF('60_Issuer_Host_Response'!$K$4:$K$200,"Fail")+COUNTIF('70_Refunds_Adjustments'!$K$4:$K$200,"Fail")+COUNTIF('80_Security_Compliance'!$K$4:$K$200,"Fail")+COUNTIF('90_Monitoring_Audit_Trail'!$K$4:$K$200,"Fail")+COUNTIF('100_Performance_Reliability'!$K$4:$K$200,"Fail")+COUNTIF('110_E2E'!$K$4:$K$200,"Fail")</f>
        <v>0</v>
      </c>
      <c r="C30" s="2"/>
      <c r="D30" s="7" t="s">
        <v>51</v>
      </c>
      <c r="E30" s="11">
        <f>IF(E28=0,0,E29/E28)</f>
        <v>0</v>
      </c>
      <c r="F30" s="2"/>
    </row>
    <row r="31" spans="1:6" x14ac:dyDescent="0.3">
      <c r="A31" s="7" t="s">
        <v>52</v>
      </c>
      <c r="B31" s="7">
        <f>COUNTIF('10_Authorization_Processing'!$K$4:$K$200,"Blocked")+COUNTIF('20_Reversal_Void'!$K$4:$K$200,"Blocked")+COUNTIF('30_Settlement_Reconciliation'!$K$4:$K$200,"Blocked")+COUNTIF('40_POS_Terminal_Entry_Modes'!$K$4:$K$200,"Blocked")+COUNTIF('50_Switch_Routing_Middleware'!$K$4:$K$200,"Blocked")+COUNTIF('60_Issuer_Host_Response'!$K$4:$K$200,"Blocked")+COUNTIF('70_Refunds_Adjustments'!$K$4:$K$200,"Blocked")+COUNTIF('80_Security_Compliance'!$K$4:$K$200,"Blocked")+COUNTIF('90_Monitoring_Audit_Trail'!$K$4:$K$200,"Blocked")+COUNTIF('100_Performance_Reliability'!$K$4:$K$200,"Blocked")+COUNTIF('110_E2E'!$K$4:$K$200,"Blocked")</f>
        <v>0</v>
      </c>
      <c r="C31" s="2"/>
      <c r="D31" s="7" t="s">
        <v>53</v>
      </c>
      <c r="E31" s="11">
        <f>IF(E29=0,0,B29/E29)</f>
        <v>0</v>
      </c>
      <c r="F31" s="2"/>
    </row>
    <row r="32" spans="1:6" x14ac:dyDescent="0.3">
      <c r="A32" s="2"/>
      <c r="B32" s="2"/>
      <c r="C32" s="2"/>
      <c r="D32" s="7" t="s">
        <v>54</v>
      </c>
      <c r="E32" s="11">
        <f>IF(E29=0,0,B30/E29)</f>
        <v>0</v>
      </c>
      <c r="F32" s="2"/>
    </row>
  </sheetData>
  <mergeCells count="2">
    <mergeCell ref="A2:G2"/>
    <mergeCell ref="A1:G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sqref="A1:XFD1048576"/>
    </sheetView>
  </sheetViews>
  <sheetFormatPr defaultRowHeight="14.4" x14ac:dyDescent="0.3"/>
  <cols>
    <col min="1" max="1" width="18.44140625" bestFit="1" customWidth="1"/>
    <col min="2" max="2" width="79.109375" bestFit="1" customWidth="1"/>
    <col min="3" max="3" width="43.5546875" bestFit="1" customWidth="1"/>
    <col min="4" max="4" width="4" customWidth="1"/>
  </cols>
  <sheetData>
    <row r="1" spans="1:4" ht="18" x14ac:dyDescent="0.3">
      <c r="A1" s="18" t="s">
        <v>55</v>
      </c>
      <c r="B1" s="17"/>
      <c r="C1" s="17"/>
      <c r="D1" s="17"/>
    </row>
    <row r="2" spans="1:4" x14ac:dyDescent="0.3">
      <c r="A2" t="s">
        <v>44</v>
      </c>
    </row>
    <row r="3" spans="1:4" ht="43.2" x14ac:dyDescent="0.3">
      <c r="A3" s="12" t="s">
        <v>56</v>
      </c>
      <c r="B3" s="2" t="s">
        <v>57</v>
      </c>
    </row>
    <row r="4" spans="1:4" ht="28.8" x14ac:dyDescent="0.3">
      <c r="A4" s="12" t="s">
        <v>58</v>
      </c>
      <c r="B4" s="2" t="s">
        <v>59</v>
      </c>
    </row>
    <row r="5" spans="1:4" ht="43.2" x14ac:dyDescent="0.3">
      <c r="A5" s="12" t="s">
        <v>60</v>
      </c>
      <c r="B5" s="2" t="s">
        <v>61</v>
      </c>
    </row>
    <row r="6" spans="1:4" x14ac:dyDescent="0.3">
      <c r="A6" s="12" t="s">
        <v>62</v>
      </c>
      <c r="B6" s="2" t="s">
        <v>4</v>
      </c>
    </row>
    <row r="7" spans="1:4" x14ac:dyDescent="0.3">
      <c r="A7" s="12" t="s">
        <v>63</v>
      </c>
      <c r="B7" s="2" t="s">
        <v>6</v>
      </c>
    </row>
    <row r="8" spans="1:4" x14ac:dyDescent="0.3">
      <c r="A8" s="12" t="s">
        <v>64</v>
      </c>
      <c r="B8" s="2" t="s">
        <v>10</v>
      </c>
    </row>
    <row r="9" spans="1:4" x14ac:dyDescent="0.3">
      <c r="A9" s="12" t="s">
        <v>65</v>
      </c>
      <c r="B9" s="2" t="s">
        <v>66</v>
      </c>
    </row>
    <row r="11" spans="1:4" x14ac:dyDescent="0.3">
      <c r="A11" s="13" t="s">
        <v>67</v>
      </c>
      <c r="B11" s="13" t="s">
        <v>68</v>
      </c>
      <c r="C11" s="13" t="s">
        <v>69</v>
      </c>
    </row>
    <row r="12" spans="1:4" ht="28.8" x14ac:dyDescent="0.3">
      <c r="A12" s="7" t="s">
        <v>70</v>
      </c>
      <c r="B12" s="14" t="s">
        <v>71</v>
      </c>
      <c r="C12" s="7" t="s">
        <v>72</v>
      </c>
    </row>
    <row r="13" spans="1:4" ht="28.8" x14ac:dyDescent="0.3">
      <c r="A13" s="7" t="s">
        <v>73</v>
      </c>
      <c r="B13" s="14" t="s">
        <v>74</v>
      </c>
      <c r="C13" s="7" t="s">
        <v>75</v>
      </c>
    </row>
    <row r="14" spans="1:4" x14ac:dyDescent="0.3">
      <c r="A14" s="7" t="s">
        <v>76</v>
      </c>
      <c r="B14" s="14" t="s">
        <v>77</v>
      </c>
      <c r="C14" s="7" t="s">
        <v>78</v>
      </c>
    </row>
    <row r="15" spans="1:4" x14ac:dyDescent="0.3">
      <c r="A15" s="7" t="s">
        <v>79</v>
      </c>
      <c r="B15" s="14" t="s">
        <v>80</v>
      </c>
      <c r="C15" s="7" t="s">
        <v>81</v>
      </c>
    </row>
    <row r="16" spans="1:4" ht="28.8" x14ac:dyDescent="0.3">
      <c r="A16" s="7" t="s">
        <v>82</v>
      </c>
      <c r="B16" s="14" t="s">
        <v>83</v>
      </c>
      <c r="C16" s="7" t="s">
        <v>84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showGridLines="0" topLeftCell="D1" workbookViewId="0">
      <selection sqref="A1:XFD1048576"/>
    </sheetView>
  </sheetViews>
  <sheetFormatPr defaultRowHeight="14.4" x14ac:dyDescent="0.3"/>
  <cols>
    <col min="1" max="1" width="9.33203125" bestFit="1" customWidth="1"/>
    <col min="2" max="2" width="22.77734375" bestFit="1" customWidth="1"/>
    <col min="3" max="3" width="45.77734375" bestFit="1" customWidth="1"/>
    <col min="4" max="4" width="37.77734375" bestFit="1" customWidth="1"/>
    <col min="5" max="5" width="47.6640625" bestFit="1" customWidth="1"/>
    <col min="6" max="6" width="41.88671875" bestFit="1" customWidth="1"/>
    <col min="7" max="7" width="45.77734375" bestFit="1" customWidth="1"/>
    <col min="8" max="8" width="6.88671875" bestFit="1" customWidth="1"/>
    <col min="9" max="9" width="14.6640625" bestFit="1" customWidth="1"/>
    <col min="10" max="10" width="18.88671875" bestFit="1" customWidth="1"/>
    <col min="11" max="11" width="7.88671875" bestFit="1" customWidth="1"/>
    <col min="12" max="12" width="21.21875" bestFit="1" customWidth="1"/>
  </cols>
  <sheetData>
    <row r="1" spans="1:12" ht="18" x14ac:dyDescent="0.3">
      <c r="A1" s="18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72" x14ac:dyDescent="0.3">
      <c r="A4" s="15" t="s">
        <v>96</v>
      </c>
      <c r="B4" s="15" t="s">
        <v>18</v>
      </c>
      <c r="C4" s="15" t="s">
        <v>97</v>
      </c>
      <c r="D4" s="15" t="s">
        <v>98</v>
      </c>
      <c r="E4" s="15" t="s">
        <v>99</v>
      </c>
      <c r="F4" s="14" t="s">
        <v>100</v>
      </c>
      <c r="G4" s="15" t="s">
        <v>101</v>
      </c>
      <c r="H4" s="15" t="s">
        <v>102</v>
      </c>
      <c r="I4" s="15" t="s">
        <v>103</v>
      </c>
      <c r="J4" s="15" t="s">
        <v>104</v>
      </c>
      <c r="K4" s="15" t="s">
        <v>4</v>
      </c>
      <c r="L4" s="15" t="s">
        <v>105</v>
      </c>
    </row>
    <row r="5" spans="1:12" ht="57.6" x14ac:dyDescent="0.3">
      <c r="A5" s="15" t="s">
        <v>106</v>
      </c>
      <c r="B5" s="15" t="s">
        <v>18</v>
      </c>
      <c r="C5" s="15" t="s">
        <v>107</v>
      </c>
      <c r="D5" s="15" t="s">
        <v>108</v>
      </c>
      <c r="E5" s="15" t="s">
        <v>109</v>
      </c>
      <c r="F5" s="14" t="s">
        <v>110</v>
      </c>
      <c r="G5" s="15" t="s">
        <v>111</v>
      </c>
      <c r="H5" s="15" t="s">
        <v>102</v>
      </c>
      <c r="I5" s="15" t="s">
        <v>112</v>
      </c>
      <c r="J5" s="15" t="s">
        <v>104</v>
      </c>
      <c r="K5" s="15" t="s">
        <v>4</v>
      </c>
      <c r="L5" s="15" t="s">
        <v>113</v>
      </c>
    </row>
    <row r="6" spans="1:12" ht="57.6" x14ac:dyDescent="0.3">
      <c r="A6" s="15" t="s">
        <v>114</v>
      </c>
      <c r="B6" s="15" t="s">
        <v>18</v>
      </c>
      <c r="C6" s="15" t="s">
        <v>115</v>
      </c>
      <c r="D6" s="15" t="s">
        <v>116</v>
      </c>
      <c r="E6" s="15" t="s">
        <v>117</v>
      </c>
      <c r="F6" s="14" t="s">
        <v>118</v>
      </c>
      <c r="G6" s="15" t="s">
        <v>119</v>
      </c>
      <c r="H6" s="15" t="s">
        <v>6</v>
      </c>
      <c r="I6" s="15" t="s">
        <v>120</v>
      </c>
      <c r="J6" s="15" t="s">
        <v>104</v>
      </c>
      <c r="K6" s="15" t="s">
        <v>4</v>
      </c>
      <c r="L6" s="15" t="s">
        <v>121</v>
      </c>
    </row>
    <row r="7" spans="1:12" ht="72" x14ac:dyDescent="0.3">
      <c r="A7" s="15" t="s">
        <v>122</v>
      </c>
      <c r="B7" s="15" t="s">
        <v>18</v>
      </c>
      <c r="C7" s="15" t="s">
        <v>123</v>
      </c>
      <c r="D7" s="15" t="s">
        <v>124</v>
      </c>
      <c r="E7" s="15" t="s">
        <v>125</v>
      </c>
      <c r="F7" s="14" t="s">
        <v>126</v>
      </c>
      <c r="G7" s="15" t="s">
        <v>127</v>
      </c>
      <c r="H7" s="15" t="s">
        <v>6</v>
      </c>
      <c r="I7" s="15" t="s">
        <v>112</v>
      </c>
      <c r="J7" s="15" t="s">
        <v>104</v>
      </c>
      <c r="K7" s="15" t="s">
        <v>4</v>
      </c>
      <c r="L7" s="15" t="s">
        <v>128</v>
      </c>
    </row>
    <row r="8" spans="1:12" ht="57.6" x14ac:dyDescent="0.3">
      <c r="A8" s="15" t="s">
        <v>129</v>
      </c>
      <c r="B8" s="15" t="s">
        <v>18</v>
      </c>
      <c r="C8" s="15" t="s">
        <v>130</v>
      </c>
      <c r="D8" s="15" t="s">
        <v>131</v>
      </c>
      <c r="E8" s="15" t="s">
        <v>132</v>
      </c>
      <c r="F8" s="14" t="s">
        <v>133</v>
      </c>
      <c r="G8" s="15" t="s">
        <v>134</v>
      </c>
      <c r="H8" s="15" t="s">
        <v>102</v>
      </c>
      <c r="I8" s="15" t="s">
        <v>112</v>
      </c>
      <c r="J8" s="15" t="s">
        <v>104</v>
      </c>
      <c r="K8" s="15" t="s">
        <v>4</v>
      </c>
      <c r="L8" s="15" t="s">
        <v>135</v>
      </c>
    </row>
    <row r="9" spans="1:12" ht="86.4" x14ac:dyDescent="0.3">
      <c r="A9" s="15" t="s">
        <v>136</v>
      </c>
      <c r="B9" s="15" t="s">
        <v>18</v>
      </c>
      <c r="C9" s="15" t="s">
        <v>137</v>
      </c>
      <c r="D9" s="15" t="s">
        <v>138</v>
      </c>
      <c r="E9" s="15" t="s">
        <v>139</v>
      </c>
      <c r="F9" s="14" t="s">
        <v>140</v>
      </c>
      <c r="G9" s="15" t="s">
        <v>141</v>
      </c>
      <c r="H9" s="15" t="s">
        <v>102</v>
      </c>
      <c r="I9" s="15" t="s">
        <v>142</v>
      </c>
      <c r="J9" s="15" t="s">
        <v>143</v>
      </c>
      <c r="K9" s="15" t="s">
        <v>4</v>
      </c>
      <c r="L9" s="15" t="s">
        <v>144</v>
      </c>
    </row>
  </sheetData>
  <mergeCells count="2">
    <mergeCell ref="A2:L2"/>
    <mergeCell ref="A1:L1"/>
  </mergeCells>
  <conditionalFormatting sqref="H4:H9">
    <cfRule type="expression" dxfId="98" priority="5">
      <formula>H4="Critical"</formula>
    </cfRule>
    <cfRule type="expression" dxfId="97" priority="6">
      <formula>H4="High"</formula>
    </cfRule>
    <cfRule type="expression" dxfId="96" priority="7">
      <formula>H4="Medium"</formula>
    </cfRule>
  </conditionalFormatting>
  <conditionalFormatting sqref="J4:J9">
    <cfRule type="expression" dxfId="95" priority="8">
      <formula>J4="Yes"</formula>
    </cfRule>
    <cfRule type="expression" dxfId="94" priority="9">
      <formula>J4="Later"</formula>
    </cfRule>
  </conditionalFormatting>
  <conditionalFormatting sqref="K4:K9">
    <cfRule type="expression" dxfId="93" priority="1">
      <formula>K4="Pass"</formula>
    </cfRule>
    <cfRule type="expression" dxfId="92" priority="2">
      <formula>K4="Fail"</formula>
    </cfRule>
    <cfRule type="expression" dxfId="91" priority="3">
      <formula>K4="Blocked"</formula>
    </cfRule>
    <cfRule type="expression" dxfId="90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Lists!$A$2:$A$5</xm:f>
          </x14:formula1>
          <xm:sqref>H4:H9</xm:sqref>
        </x14:dataValidation>
        <x14:dataValidation type="list" xr:uid="{00000000-0002-0000-0200-000001000000}">
          <x14:formula1>
            <xm:f>Lists!$B$2:$B$11</xm:f>
          </x14:formula1>
          <xm:sqref>I4:I9</xm:sqref>
        </x14:dataValidation>
        <x14:dataValidation type="list" xr:uid="{00000000-0002-0000-0200-000002000000}">
          <x14:formula1>
            <xm:f>Lists!$C$2:$C$4</xm:f>
          </x14:formula1>
          <xm:sqref>J4:J9</xm:sqref>
        </x14:dataValidation>
        <x14:dataValidation type="list" xr:uid="{00000000-0002-0000-02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topLeftCell="D1" workbookViewId="0">
      <selection sqref="A1:XFD1048576"/>
    </sheetView>
  </sheetViews>
  <sheetFormatPr defaultRowHeight="14.4" x14ac:dyDescent="0.3"/>
  <cols>
    <col min="1" max="1" width="7.88671875" bestFit="1" customWidth="1"/>
    <col min="2" max="2" width="25" bestFit="1" customWidth="1"/>
    <col min="3" max="3" width="45.77734375" bestFit="1" customWidth="1"/>
    <col min="4" max="4" width="37.77734375" bestFit="1" customWidth="1"/>
    <col min="5" max="5" width="46.5546875" bestFit="1" customWidth="1"/>
    <col min="6" max="6" width="41.88671875" bestFit="1" customWidth="1"/>
    <col min="7" max="7" width="45.5546875" bestFit="1" customWidth="1"/>
    <col min="8" max="8" width="6.88671875" bestFit="1" customWidth="1"/>
    <col min="9" max="9" width="13.33203125" bestFit="1" customWidth="1"/>
    <col min="10" max="10" width="18.88671875" bestFit="1" customWidth="1"/>
    <col min="11" max="11" width="7.88671875" bestFit="1" customWidth="1"/>
    <col min="12" max="12" width="20.44140625" bestFit="1" customWidth="1"/>
  </cols>
  <sheetData>
    <row r="1" spans="1:12" ht="18" x14ac:dyDescent="0.3">
      <c r="A1" s="18" t="s">
        <v>145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57.6" x14ac:dyDescent="0.3">
      <c r="A4" s="15" t="s">
        <v>146</v>
      </c>
      <c r="B4" s="15" t="s">
        <v>20</v>
      </c>
      <c r="C4" s="15" t="s">
        <v>147</v>
      </c>
      <c r="D4" s="15" t="s">
        <v>148</v>
      </c>
      <c r="E4" s="15" t="s">
        <v>149</v>
      </c>
      <c r="F4" s="14" t="s">
        <v>150</v>
      </c>
      <c r="G4" s="15" t="s">
        <v>151</v>
      </c>
      <c r="H4" s="15" t="s">
        <v>102</v>
      </c>
      <c r="I4" s="15" t="s">
        <v>112</v>
      </c>
      <c r="J4" s="15" t="s">
        <v>104</v>
      </c>
      <c r="K4" s="15" t="s">
        <v>4</v>
      </c>
      <c r="L4" s="15" t="s">
        <v>152</v>
      </c>
    </row>
    <row r="5" spans="1:12" ht="72" x14ac:dyDescent="0.3">
      <c r="A5" s="15" t="s">
        <v>153</v>
      </c>
      <c r="B5" s="15" t="s">
        <v>20</v>
      </c>
      <c r="C5" s="15" t="s">
        <v>154</v>
      </c>
      <c r="D5" s="15" t="s">
        <v>155</v>
      </c>
      <c r="E5" s="15" t="s">
        <v>156</v>
      </c>
      <c r="F5" s="14" t="s">
        <v>157</v>
      </c>
      <c r="G5" s="15" t="s">
        <v>158</v>
      </c>
      <c r="H5" s="15" t="s">
        <v>102</v>
      </c>
      <c r="I5" s="15" t="s">
        <v>103</v>
      </c>
      <c r="J5" s="15" t="s">
        <v>104</v>
      </c>
      <c r="K5" s="15" t="s">
        <v>4</v>
      </c>
      <c r="L5" s="15" t="s">
        <v>159</v>
      </c>
    </row>
    <row r="6" spans="1:12" ht="57.6" x14ac:dyDescent="0.3">
      <c r="A6" s="15" t="s">
        <v>160</v>
      </c>
      <c r="B6" s="15" t="s">
        <v>20</v>
      </c>
      <c r="C6" s="15" t="s">
        <v>161</v>
      </c>
      <c r="D6" s="15" t="s">
        <v>162</v>
      </c>
      <c r="E6" s="15" t="s">
        <v>163</v>
      </c>
      <c r="F6" s="14" t="s">
        <v>164</v>
      </c>
      <c r="G6" s="15" t="s">
        <v>165</v>
      </c>
      <c r="H6" s="15" t="s">
        <v>6</v>
      </c>
      <c r="I6" s="15" t="s">
        <v>112</v>
      </c>
      <c r="J6" s="15" t="s">
        <v>104</v>
      </c>
      <c r="K6" s="15" t="s">
        <v>4</v>
      </c>
      <c r="L6" s="15" t="s">
        <v>166</v>
      </c>
    </row>
    <row r="7" spans="1:12" ht="57.6" x14ac:dyDescent="0.3">
      <c r="A7" s="15" t="s">
        <v>167</v>
      </c>
      <c r="B7" s="15" t="s">
        <v>20</v>
      </c>
      <c r="C7" s="15" t="s">
        <v>168</v>
      </c>
      <c r="D7" s="15" t="s">
        <v>169</v>
      </c>
      <c r="E7" s="15" t="s">
        <v>170</v>
      </c>
      <c r="F7" s="14" t="s">
        <v>171</v>
      </c>
      <c r="G7" s="15" t="s">
        <v>172</v>
      </c>
      <c r="H7" s="15" t="s">
        <v>6</v>
      </c>
      <c r="I7" s="15" t="s">
        <v>142</v>
      </c>
      <c r="J7" s="15" t="s">
        <v>104</v>
      </c>
      <c r="K7" s="15" t="s">
        <v>4</v>
      </c>
      <c r="L7" s="15" t="s">
        <v>173</v>
      </c>
    </row>
    <row r="8" spans="1:12" ht="57.6" x14ac:dyDescent="0.3">
      <c r="A8" s="15" t="s">
        <v>174</v>
      </c>
      <c r="B8" s="15" t="s">
        <v>20</v>
      </c>
      <c r="C8" s="15" t="s">
        <v>175</v>
      </c>
      <c r="D8" s="15" t="s">
        <v>176</v>
      </c>
      <c r="E8" s="15" t="s">
        <v>177</v>
      </c>
      <c r="F8" s="14" t="s">
        <v>178</v>
      </c>
      <c r="G8" s="15" t="s">
        <v>179</v>
      </c>
      <c r="H8" s="15" t="s">
        <v>102</v>
      </c>
      <c r="I8" s="15" t="s">
        <v>180</v>
      </c>
      <c r="J8" s="15" t="s">
        <v>104</v>
      </c>
      <c r="K8" s="15" t="s">
        <v>4</v>
      </c>
      <c r="L8" s="15" t="s">
        <v>181</v>
      </c>
    </row>
    <row r="9" spans="1:12" ht="57.6" x14ac:dyDescent="0.3">
      <c r="A9" s="15" t="s">
        <v>182</v>
      </c>
      <c r="B9" s="15" t="s">
        <v>20</v>
      </c>
      <c r="C9" s="15" t="s">
        <v>183</v>
      </c>
      <c r="D9" s="15" t="s">
        <v>184</v>
      </c>
      <c r="E9" s="15" t="s">
        <v>185</v>
      </c>
      <c r="F9" s="14" t="s">
        <v>186</v>
      </c>
      <c r="G9" s="15" t="s">
        <v>187</v>
      </c>
      <c r="H9" s="15" t="s">
        <v>6</v>
      </c>
      <c r="I9" s="15" t="s">
        <v>112</v>
      </c>
      <c r="J9" s="15" t="s">
        <v>143</v>
      </c>
      <c r="K9" s="15" t="s">
        <v>4</v>
      </c>
      <c r="L9" s="15" t="s">
        <v>188</v>
      </c>
    </row>
  </sheetData>
  <mergeCells count="2">
    <mergeCell ref="A2:L2"/>
    <mergeCell ref="A1:L1"/>
  </mergeCells>
  <conditionalFormatting sqref="H4:H9">
    <cfRule type="expression" dxfId="89" priority="5">
      <formula>H4="Critical"</formula>
    </cfRule>
    <cfRule type="expression" dxfId="88" priority="6">
      <formula>H4="High"</formula>
    </cfRule>
    <cfRule type="expression" dxfId="87" priority="7">
      <formula>H4="Medium"</formula>
    </cfRule>
  </conditionalFormatting>
  <conditionalFormatting sqref="J4:J9">
    <cfRule type="expression" dxfId="86" priority="8">
      <formula>J4="Yes"</formula>
    </cfRule>
    <cfRule type="expression" dxfId="85" priority="9">
      <formula>J4="Later"</formula>
    </cfRule>
  </conditionalFormatting>
  <conditionalFormatting sqref="K4:K9">
    <cfRule type="expression" dxfId="84" priority="1">
      <formula>K4="Pass"</formula>
    </cfRule>
    <cfRule type="expression" dxfId="83" priority="2">
      <formula>K4="Fail"</formula>
    </cfRule>
    <cfRule type="expression" dxfId="82" priority="3">
      <formula>K4="Blocked"</formula>
    </cfRule>
    <cfRule type="expression" dxfId="81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300-000000000000}">
          <x14:formula1>
            <xm:f>Lists!$A$2:$A$5</xm:f>
          </x14:formula1>
          <xm:sqref>H4:H9</xm:sqref>
        </x14:dataValidation>
        <x14:dataValidation type="list" xr:uid="{00000000-0002-0000-0300-000001000000}">
          <x14:formula1>
            <xm:f>Lists!$B$2:$B$11</xm:f>
          </x14:formula1>
          <xm:sqref>I4:I9</xm:sqref>
        </x14:dataValidation>
        <x14:dataValidation type="list" xr:uid="{00000000-0002-0000-0300-000002000000}">
          <x14:formula1>
            <xm:f>Lists!$C$2:$C$4</xm:f>
          </x14:formula1>
          <xm:sqref>J4:J9</xm:sqref>
        </x14:dataValidation>
        <x14:dataValidation type="list" xr:uid="{00000000-0002-0000-03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showGridLines="0" topLeftCell="D1" workbookViewId="0">
      <selection sqref="A1:XFD1048576"/>
    </sheetView>
  </sheetViews>
  <sheetFormatPr defaultRowHeight="14.4" x14ac:dyDescent="0.3"/>
  <cols>
    <col min="1" max="1" width="7.5546875" bestFit="1" customWidth="1"/>
    <col min="2" max="2" width="25.77734375" bestFit="1" customWidth="1"/>
    <col min="3" max="3" width="45.6640625" bestFit="1" customWidth="1"/>
    <col min="4" max="4" width="37.6640625" bestFit="1" customWidth="1"/>
    <col min="5" max="5" width="47.109375" bestFit="1" customWidth="1"/>
    <col min="6" max="6" width="41.88671875" bestFit="1" customWidth="1"/>
    <col min="7" max="7" width="45.77734375" bestFit="1" customWidth="1"/>
    <col min="8" max="8" width="6.88671875" bestFit="1" customWidth="1"/>
    <col min="9" max="9" width="13.33203125" bestFit="1" customWidth="1"/>
    <col min="10" max="10" width="18.88671875" bestFit="1" customWidth="1"/>
    <col min="11" max="11" width="7.88671875" bestFit="1" customWidth="1"/>
    <col min="12" max="12" width="20.88671875" bestFit="1" customWidth="1"/>
  </cols>
  <sheetData>
    <row r="1" spans="1:12" ht="18" x14ac:dyDescent="0.3">
      <c r="A1" s="18" t="s">
        <v>189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57.6" x14ac:dyDescent="0.3">
      <c r="A4" s="15" t="s">
        <v>190</v>
      </c>
      <c r="B4" s="15" t="s">
        <v>22</v>
      </c>
      <c r="C4" s="15" t="s">
        <v>191</v>
      </c>
      <c r="D4" s="15" t="s">
        <v>192</v>
      </c>
      <c r="E4" s="15" t="s">
        <v>193</v>
      </c>
      <c r="F4" s="14" t="s">
        <v>194</v>
      </c>
      <c r="G4" s="15" t="s">
        <v>195</v>
      </c>
      <c r="H4" s="15" t="s">
        <v>102</v>
      </c>
      <c r="I4" s="15" t="s">
        <v>103</v>
      </c>
      <c r="J4" s="15" t="s">
        <v>104</v>
      </c>
      <c r="K4" s="15" t="s">
        <v>4</v>
      </c>
      <c r="L4" s="15" t="s">
        <v>196</v>
      </c>
    </row>
    <row r="5" spans="1:12" ht="43.2" x14ac:dyDescent="0.3">
      <c r="A5" s="15" t="s">
        <v>197</v>
      </c>
      <c r="B5" s="15" t="s">
        <v>22</v>
      </c>
      <c r="C5" s="15" t="s">
        <v>198</v>
      </c>
      <c r="D5" s="15" t="s">
        <v>199</v>
      </c>
      <c r="E5" s="15" t="s">
        <v>200</v>
      </c>
      <c r="F5" s="14" t="s">
        <v>201</v>
      </c>
      <c r="G5" s="15" t="s">
        <v>202</v>
      </c>
      <c r="H5" s="15" t="s">
        <v>102</v>
      </c>
      <c r="I5" s="15" t="s">
        <v>112</v>
      </c>
      <c r="J5" s="15" t="s">
        <v>104</v>
      </c>
      <c r="K5" s="15" t="s">
        <v>4</v>
      </c>
      <c r="L5" s="15" t="s">
        <v>203</v>
      </c>
    </row>
    <row r="6" spans="1:12" ht="43.2" x14ac:dyDescent="0.3">
      <c r="A6" s="15" t="s">
        <v>204</v>
      </c>
      <c r="B6" s="15" t="s">
        <v>22</v>
      </c>
      <c r="C6" s="15" t="s">
        <v>205</v>
      </c>
      <c r="D6" s="15" t="s">
        <v>206</v>
      </c>
      <c r="E6" s="15" t="s">
        <v>207</v>
      </c>
      <c r="F6" s="14" t="s">
        <v>208</v>
      </c>
      <c r="G6" s="15" t="s">
        <v>209</v>
      </c>
      <c r="H6" s="15" t="s">
        <v>102</v>
      </c>
      <c r="I6" s="15" t="s">
        <v>142</v>
      </c>
      <c r="J6" s="15" t="s">
        <v>104</v>
      </c>
      <c r="K6" s="15" t="s">
        <v>4</v>
      </c>
      <c r="L6" s="15" t="s">
        <v>210</v>
      </c>
    </row>
    <row r="7" spans="1:12" ht="57.6" x14ac:dyDescent="0.3">
      <c r="A7" s="15" t="s">
        <v>211</v>
      </c>
      <c r="B7" s="15" t="s">
        <v>22</v>
      </c>
      <c r="C7" s="15" t="s">
        <v>212</v>
      </c>
      <c r="D7" s="15" t="s">
        <v>213</v>
      </c>
      <c r="E7" s="15" t="s">
        <v>214</v>
      </c>
      <c r="F7" s="14" t="s">
        <v>215</v>
      </c>
      <c r="G7" s="15" t="s">
        <v>216</v>
      </c>
      <c r="H7" s="15" t="s">
        <v>102</v>
      </c>
      <c r="I7" s="15" t="s">
        <v>180</v>
      </c>
      <c r="J7" s="15" t="s">
        <v>104</v>
      </c>
      <c r="K7" s="15" t="s">
        <v>4</v>
      </c>
      <c r="L7" s="15" t="s">
        <v>217</v>
      </c>
    </row>
    <row r="8" spans="1:12" ht="43.2" x14ac:dyDescent="0.3">
      <c r="A8" s="15" t="s">
        <v>218</v>
      </c>
      <c r="B8" s="15" t="s">
        <v>22</v>
      </c>
      <c r="C8" s="15" t="s">
        <v>219</v>
      </c>
      <c r="D8" s="15" t="s">
        <v>220</v>
      </c>
      <c r="E8" s="15" t="s">
        <v>221</v>
      </c>
      <c r="F8" s="14" t="s">
        <v>222</v>
      </c>
      <c r="G8" s="15" t="s">
        <v>223</v>
      </c>
      <c r="H8" s="15" t="s">
        <v>6</v>
      </c>
      <c r="I8" s="15" t="s">
        <v>112</v>
      </c>
      <c r="J8" s="15" t="s">
        <v>104</v>
      </c>
      <c r="K8" s="15" t="s">
        <v>4</v>
      </c>
      <c r="L8" s="15" t="s">
        <v>224</v>
      </c>
    </row>
    <row r="9" spans="1:12" ht="43.2" x14ac:dyDescent="0.3">
      <c r="A9" s="15" t="s">
        <v>225</v>
      </c>
      <c r="B9" s="15" t="s">
        <v>22</v>
      </c>
      <c r="C9" s="15" t="s">
        <v>226</v>
      </c>
      <c r="D9" s="15" t="s">
        <v>227</v>
      </c>
      <c r="E9" s="15" t="s">
        <v>228</v>
      </c>
      <c r="F9" s="14" t="s">
        <v>229</v>
      </c>
      <c r="G9" s="15" t="s">
        <v>230</v>
      </c>
      <c r="H9" s="15" t="s">
        <v>6</v>
      </c>
      <c r="I9" s="15" t="s">
        <v>231</v>
      </c>
      <c r="J9" s="15" t="s">
        <v>104</v>
      </c>
      <c r="K9" s="15" t="s">
        <v>4</v>
      </c>
      <c r="L9" s="15" t="s">
        <v>232</v>
      </c>
    </row>
  </sheetData>
  <mergeCells count="2">
    <mergeCell ref="A2:L2"/>
    <mergeCell ref="A1:L1"/>
  </mergeCells>
  <conditionalFormatting sqref="H4:H9">
    <cfRule type="expression" dxfId="80" priority="5">
      <formula>H4="Critical"</formula>
    </cfRule>
    <cfRule type="expression" dxfId="79" priority="6">
      <formula>H4="High"</formula>
    </cfRule>
    <cfRule type="expression" dxfId="78" priority="7">
      <formula>H4="Medium"</formula>
    </cfRule>
  </conditionalFormatting>
  <conditionalFormatting sqref="J4:J9">
    <cfRule type="expression" dxfId="77" priority="8">
      <formula>J4="Yes"</formula>
    </cfRule>
    <cfRule type="expression" dxfId="76" priority="9">
      <formula>J4="Later"</formula>
    </cfRule>
  </conditionalFormatting>
  <conditionalFormatting sqref="K4:K9">
    <cfRule type="expression" dxfId="75" priority="1">
      <formula>K4="Pass"</formula>
    </cfRule>
    <cfRule type="expression" dxfId="74" priority="2">
      <formula>K4="Fail"</formula>
    </cfRule>
    <cfRule type="expression" dxfId="73" priority="3">
      <formula>K4="Blocked"</formula>
    </cfRule>
    <cfRule type="expression" dxfId="72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Lists!$A$2:$A$5</xm:f>
          </x14:formula1>
          <xm:sqref>H4:H9</xm:sqref>
        </x14:dataValidation>
        <x14:dataValidation type="list" xr:uid="{00000000-0002-0000-0400-000001000000}">
          <x14:formula1>
            <xm:f>Lists!$B$2:$B$11</xm:f>
          </x14:formula1>
          <xm:sqref>I4:I9</xm:sqref>
        </x14:dataValidation>
        <x14:dataValidation type="list" xr:uid="{00000000-0002-0000-0400-000002000000}">
          <x14:formula1>
            <xm:f>Lists!$C$2:$C$4</xm:f>
          </x14:formula1>
          <xm:sqref>J4:J9</xm:sqref>
        </x14:dataValidation>
        <x14:dataValidation type="list" xr:uid="{00000000-0002-0000-04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showGridLines="0" topLeftCell="D1" workbookViewId="0">
      <selection sqref="A1:XFD1048576"/>
    </sheetView>
  </sheetViews>
  <sheetFormatPr defaultRowHeight="14.4" x14ac:dyDescent="0.3"/>
  <cols>
    <col min="1" max="1" width="8" bestFit="1" customWidth="1"/>
    <col min="2" max="2" width="21.33203125" bestFit="1" customWidth="1"/>
    <col min="3" max="3" width="45.33203125" bestFit="1" customWidth="1"/>
    <col min="4" max="4" width="37.88671875" bestFit="1" customWidth="1"/>
    <col min="5" max="5" width="46.33203125" bestFit="1" customWidth="1"/>
    <col min="6" max="6" width="41.88671875" bestFit="1" customWidth="1"/>
    <col min="7" max="7" width="46" customWidth="1"/>
    <col min="8" max="8" width="8.21875" bestFit="1" customWidth="1"/>
    <col min="9" max="9" width="14.6640625" bestFit="1" customWidth="1"/>
    <col min="10" max="10" width="18.88671875" bestFit="1" customWidth="1"/>
    <col min="11" max="11" width="7.88671875" bestFit="1" customWidth="1"/>
    <col min="12" max="12" width="16.88671875" bestFit="1" customWidth="1"/>
  </cols>
  <sheetData>
    <row r="1" spans="1:12" ht="18" x14ac:dyDescent="0.3">
      <c r="A1" s="18" t="s">
        <v>233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57.6" x14ac:dyDescent="0.3">
      <c r="A4" s="15" t="s">
        <v>234</v>
      </c>
      <c r="B4" s="15" t="s">
        <v>24</v>
      </c>
      <c r="C4" s="15" t="s">
        <v>235</v>
      </c>
      <c r="D4" s="15" t="s">
        <v>236</v>
      </c>
      <c r="E4" s="15" t="s">
        <v>237</v>
      </c>
      <c r="F4" s="14" t="s">
        <v>238</v>
      </c>
      <c r="G4" s="15" t="s">
        <v>239</v>
      </c>
      <c r="H4" s="15" t="s">
        <v>6</v>
      </c>
      <c r="I4" s="15" t="s">
        <v>120</v>
      </c>
      <c r="J4" s="15" t="s">
        <v>143</v>
      </c>
      <c r="K4" s="15" t="s">
        <v>4</v>
      </c>
      <c r="L4" s="15" t="s">
        <v>240</v>
      </c>
    </row>
    <row r="5" spans="1:12" ht="57.6" x14ac:dyDescent="0.3">
      <c r="A5" s="15" t="s">
        <v>241</v>
      </c>
      <c r="B5" s="15" t="s">
        <v>24</v>
      </c>
      <c r="C5" s="15" t="s">
        <v>242</v>
      </c>
      <c r="D5" s="15" t="s">
        <v>243</v>
      </c>
      <c r="E5" s="15" t="s">
        <v>244</v>
      </c>
      <c r="F5" s="14" t="s">
        <v>245</v>
      </c>
      <c r="G5" s="15" t="s">
        <v>246</v>
      </c>
      <c r="H5" s="15" t="s">
        <v>6</v>
      </c>
      <c r="I5" s="15" t="s">
        <v>112</v>
      </c>
      <c r="J5" s="15" t="s">
        <v>143</v>
      </c>
      <c r="K5" s="15" t="s">
        <v>4</v>
      </c>
      <c r="L5" s="15" t="s">
        <v>247</v>
      </c>
    </row>
    <row r="6" spans="1:12" ht="57.6" x14ac:dyDescent="0.3">
      <c r="A6" s="15" t="s">
        <v>248</v>
      </c>
      <c r="B6" s="15" t="s">
        <v>24</v>
      </c>
      <c r="C6" s="15" t="s">
        <v>249</v>
      </c>
      <c r="D6" s="15" t="s">
        <v>250</v>
      </c>
      <c r="E6" s="15" t="s">
        <v>251</v>
      </c>
      <c r="F6" s="14" t="s">
        <v>252</v>
      </c>
      <c r="G6" s="15" t="s">
        <v>253</v>
      </c>
      <c r="H6" s="15" t="s">
        <v>254</v>
      </c>
      <c r="I6" s="15" t="s">
        <v>103</v>
      </c>
      <c r="J6" s="15" t="s">
        <v>143</v>
      </c>
      <c r="K6" s="15" t="s">
        <v>4</v>
      </c>
      <c r="L6" s="15" t="s">
        <v>255</v>
      </c>
    </row>
    <row r="7" spans="1:12" ht="57.6" x14ac:dyDescent="0.3">
      <c r="A7" s="15" t="s">
        <v>256</v>
      </c>
      <c r="B7" s="15" t="s">
        <v>24</v>
      </c>
      <c r="C7" s="15" t="s">
        <v>257</v>
      </c>
      <c r="D7" s="15" t="s">
        <v>258</v>
      </c>
      <c r="E7" s="15" t="s">
        <v>259</v>
      </c>
      <c r="F7" s="14" t="s">
        <v>260</v>
      </c>
      <c r="G7" s="15" t="s">
        <v>261</v>
      </c>
      <c r="H7" s="15" t="s">
        <v>6</v>
      </c>
      <c r="I7" s="15" t="s">
        <v>103</v>
      </c>
      <c r="J7" s="15" t="s">
        <v>143</v>
      </c>
      <c r="K7" s="15" t="s">
        <v>4</v>
      </c>
      <c r="L7" s="15" t="s">
        <v>262</v>
      </c>
    </row>
    <row r="8" spans="1:12" ht="57.6" x14ac:dyDescent="0.3">
      <c r="A8" s="15" t="s">
        <v>263</v>
      </c>
      <c r="B8" s="15" t="s">
        <v>24</v>
      </c>
      <c r="C8" s="15" t="s">
        <v>264</v>
      </c>
      <c r="D8" s="15" t="s">
        <v>265</v>
      </c>
      <c r="E8" s="15" t="s">
        <v>266</v>
      </c>
      <c r="F8" s="14" t="s">
        <v>267</v>
      </c>
      <c r="G8" s="15" t="s">
        <v>268</v>
      </c>
      <c r="H8" s="15" t="s">
        <v>102</v>
      </c>
      <c r="I8" s="15" t="s">
        <v>112</v>
      </c>
      <c r="J8" s="15" t="s">
        <v>269</v>
      </c>
      <c r="K8" s="15" t="s">
        <v>4</v>
      </c>
      <c r="L8" s="15" t="s">
        <v>270</v>
      </c>
    </row>
    <row r="9" spans="1:12" ht="43.2" x14ac:dyDescent="0.3">
      <c r="A9" s="15" t="s">
        <v>271</v>
      </c>
      <c r="B9" s="15" t="s">
        <v>24</v>
      </c>
      <c r="C9" s="15" t="s">
        <v>272</v>
      </c>
      <c r="D9" s="15" t="s">
        <v>273</v>
      </c>
      <c r="E9" s="15" t="s">
        <v>274</v>
      </c>
      <c r="F9" s="14" t="s">
        <v>275</v>
      </c>
      <c r="G9" s="15" t="s">
        <v>276</v>
      </c>
      <c r="H9" s="15" t="s">
        <v>254</v>
      </c>
      <c r="I9" s="15" t="s">
        <v>231</v>
      </c>
      <c r="J9" s="15" t="s">
        <v>269</v>
      </c>
      <c r="K9" s="15" t="s">
        <v>4</v>
      </c>
      <c r="L9" s="15" t="s">
        <v>277</v>
      </c>
    </row>
  </sheetData>
  <mergeCells count="2">
    <mergeCell ref="A2:L2"/>
    <mergeCell ref="A1:L1"/>
  </mergeCells>
  <conditionalFormatting sqref="H4:H9">
    <cfRule type="expression" dxfId="71" priority="5">
      <formula>H4="Critical"</formula>
    </cfRule>
    <cfRule type="expression" dxfId="70" priority="6">
      <formula>H4="High"</formula>
    </cfRule>
    <cfRule type="expression" dxfId="69" priority="7">
      <formula>H4="Medium"</formula>
    </cfRule>
  </conditionalFormatting>
  <conditionalFormatting sqref="J4:J9">
    <cfRule type="expression" dxfId="68" priority="8">
      <formula>J4="Yes"</formula>
    </cfRule>
    <cfRule type="expression" dxfId="67" priority="9">
      <formula>J4="Later"</formula>
    </cfRule>
  </conditionalFormatting>
  <conditionalFormatting sqref="K4:K9">
    <cfRule type="expression" dxfId="66" priority="1">
      <formula>K4="Pass"</formula>
    </cfRule>
    <cfRule type="expression" dxfId="65" priority="2">
      <formula>K4="Fail"</formula>
    </cfRule>
    <cfRule type="expression" dxfId="64" priority="3">
      <formula>K4="Blocked"</formula>
    </cfRule>
    <cfRule type="expression" dxfId="63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Lists!$A$2:$A$5</xm:f>
          </x14:formula1>
          <xm:sqref>H4:H9</xm:sqref>
        </x14:dataValidation>
        <x14:dataValidation type="list" xr:uid="{00000000-0002-0000-0500-000001000000}">
          <x14:formula1>
            <xm:f>Lists!$B$2:$B$11</xm:f>
          </x14:formula1>
          <xm:sqref>I4:I9</xm:sqref>
        </x14:dataValidation>
        <x14:dataValidation type="list" xr:uid="{00000000-0002-0000-0500-000002000000}">
          <x14:formula1>
            <xm:f>Lists!$C$2:$C$4</xm:f>
          </x14:formula1>
          <xm:sqref>J4:J9</xm:sqref>
        </x14:dataValidation>
        <x14:dataValidation type="list" xr:uid="{00000000-0002-0000-05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showGridLines="0" topLeftCell="D1" workbookViewId="0">
      <selection sqref="A1:XFD1048576"/>
    </sheetView>
  </sheetViews>
  <sheetFormatPr defaultRowHeight="14.4" x14ac:dyDescent="0.3"/>
  <cols>
    <col min="1" max="1" width="8.33203125" bestFit="1" customWidth="1"/>
    <col min="2" max="2" width="17.6640625" bestFit="1" customWidth="1"/>
    <col min="3" max="3" width="45.6640625" bestFit="1" customWidth="1"/>
    <col min="4" max="4" width="37.109375" bestFit="1" customWidth="1"/>
    <col min="5" max="5" width="45.77734375" bestFit="1" customWidth="1"/>
    <col min="6" max="6" width="41" bestFit="1" customWidth="1"/>
    <col min="7" max="7" width="45.5546875" bestFit="1" customWidth="1"/>
    <col min="8" max="8" width="6.88671875" bestFit="1" customWidth="1"/>
    <col min="9" max="9" width="14.6640625" bestFit="1" customWidth="1"/>
    <col min="10" max="10" width="18.88671875" bestFit="1" customWidth="1"/>
    <col min="11" max="11" width="7.88671875" bestFit="1" customWidth="1"/>
    <col min="12" max="12" width="18" bestFit="1" customWidth="1"/>
  </cols>
  <sheetData>
    <row r="1" spans="1:12" ht="18" x14ac:dyDescent="0.3">
      <c r="A1" s="18" t="s">
        <v>278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43.2" x14ac:dyDescent="0.3">
      <c r="A4" s="15" t="s">
        <v>279</v>
      </c>
      <c r="B4" s="15" t="s">
        <v>26</v>
      </c>
      <c r="C4" s="15" t="s">
        <v>280</v>
      </c>
      <c r="D4" s="15" t="s">
        <v>281</v>
      </c>
      <c r="E4" s="15" t="s">
        <v>282</v>
      </c>
      <c r="F4" s="14" t="s">
        <v>283</v>
      </c>
      <c r="G4" s="15" t="s">
        <v>284</v>
      </c>
      <c r="H4" s="15" t="s">
        <v>102</v>
      </c>
      <c r="I4" s="15" t="s">
        <v>120</v>
      </c>
      <c r="J4" s="15" t="s">
        <v>104</v>
      </c>
      <c r="K4" s="15" t="s">
        <v>4</v>
      </c>
      <c r="L4" s="15" t="s">
        <v>285</v>
      </c>
    </row>
    <row r="5" spans="1:12" ht="43.2" x14ac:dyDescent="0.3">
      <c r="A5" s="15" t="s">
        <v>286</v>
      </c>
      <c r="B5" s="15" t="s">
        <v>26</v>
      </c>
      <c r="C5" s="15" t="s">
        <v>287</v>
      </c>
      <c r="D5" s="15" t="s">
        <v>288</v>
      </c>
      <c r="E5" s="15" t="s">
        <v>289</v>
      </c>
      <c r="F5" s="14" t="s">
        <v>290</v>
      </c>
      <c r="G5" s="15" t="s">
        <v>291</v>
      </c>
      <c r="H5" s="15" t="s">
        <v>6</v>
      </c>
      <c r="I5" s="15" t="s">
        <v>103</v>
      </c>
      <c r="J5" s="15" t="s">
        <v>143</v>
      </c>
      <c r="K5" s="15" t="s">
        <v>4</v>
      </c>
      <c r="L5" s="15" t="s">
        <v>292</v>
      </c>
    </row>
    <row r="6" spans="1:12" ht="43.2" x14ac:dyDescent="0.3">
      <c r="A6" s="15" t="s">
        <v>293</v>
      </c>
      <c r="B6" s="15" t="s">
        <v>26</v>
      </c>
      <c r="C6" s="15" t="s">
        <v>294</v>
      </c>
      <c r="D6" s="15" t="s">
        <v>295</v>
      </c>
      <c r="E6" s="15" t="s">
        <v>296</v>
      </c>
      <c r="F6" s="14" t="s">
        <v>297</v>
      </c>
      <c r="G6" s="15" t="s">
        <v>298</v>
      </c>
      <c r="H6" s="15" t="s">
        <v>102</v>
      </c>
      <c r="I6" s="15" t="s">
        <v>112</v>
      </c>
      <c r="J6" s="15" t="s">
        <v>104</v>
      </c>
      <c r="K6" s="15" t="s">
        <v>4</v>
      </c>
      <c r="L6" s="15" t="s">
        <v>299</v>
      </c>
    </row>
    <row r="7" spans="1:12" ht="72" x14ac:dyDescent="0.3">
      <c r="A7" s="15" t="s">
        <v>300</v>
      </c>
      <c r="B7" s="15" t="s">
        <v>26</v>
      </c>
      <c r="C7" s="15" t="s">
        <v>301</v>
      </c>
      <c r="D7" s="15" t="s">
        <v>302</v>
      </c>
      <c r="E7" s="15" t="s">
        <v>303</v>
      </c>
      <c r="F7" s="14" t="s">
        <v>304</v>
      </c>
      <c r="G7" s="15" t="s">
        <v>305</v>
      </c>
      <c r="H7" s="15" t="s">
        <v>102</v>
      </c>
      <c r="I7" s="15" t="s">
        <v>112</v>
      </c>
      <c r="J7" s="15" t="s">
        <v>104</v>
      </c>
      <c r="K7" s="15" t="s">
        <v>4</v>
      </c>
      <c r="L7" s="15" t="s">
        <v>306</v>
      </c>
    </row>
    <row r="8" spans="1:12" ht="43.2" x14ac:dyDescent="0.3">
      <c r="A8" s="15" t="s">
        <v>307</v>
      </c>
      <c r="B8" s="15" t="s">
        <v>26</v>
      </c>
      <c r="C8" s="15" t="s">
        <v>308</v>
      </c>
      <c r="D8" s="15" t="s">
        <v>309</v>
      </c>
      <c r="E8" s="15" t="s">
        <v>310</v>
      </c>
      <c r="F8" s="14" t="s">
        <v>311</v>
      </c>
      <c r="G8" s="15" t="s">
        <v>312</v>
      </c>
      <c r="H8" s="15" t="s">
        <v>102</v>
      </c>
      <c r="I8" s="15" t="s">
        <v>142</v>
      </c>
      <c r="J8" s="15" t="s">
        <v>104</v>
      </c>
      <c r="K8" s="15" t="s">
        <v>4</v>
      </c>
      <c r="L8" s="15" t="s">
        <v>313</v>
      </c>
    </row>
    <row r="9" spans="1:12" ht="57.6" x14ac:dyDescent="0.3">
      <c r="A9" s="15" t="s">
        <v>314</v>
      </c>
      <c r="B9" s="15" t="s">
        <v>26</v>
      </c>
      <c r="C9" s="15" t="s">
        <v>315</v>
      </c>
      <c r="D9" s="15" t="s">
        <v>316</v>
      </c>
      <c r="E9" s="15" t="s">
        <v>317</v>
      </c>
      <c r="F9" s="14" t="s">
        <v>318</v>
      </c>
      <c r="G9" s="15" t="s">
        <v>319</v>
      </c>
      <c r="H9" s="15" t="s">
        <v>6</v>
      </c>
      <c r="I9" s="15" t="s">
        <v>231</v>
      </c>
      <c r="J9" s="15" t="s">
        <v>143</v>
      </c>
      <c r="K9" s="15" t="s">
        <v>4</v>
      </c>
      <c r="L9" s="15" t="s">
        <v>320</v>
      </c>
    </row>
  </sheetData>
  <mergeCells count="2">
    <mergeCell ref="A2:L2"/>
    <mergeCell ref="A1:L1"/>
  </mergeCells>
  <conditionalFormatting sqref="H4:H9">
    <cfRule type="expression" dxfId="62" priority="5">
      <formula>H4="Critical"</formula>
    </cfRule>
    <cfRule type="expression" dxfId="61" priority="6">
      <formula>H4="High"</formula>
    </cfRule>
    <cfRule type="expression" dxfId="60" priority="7">
      <formula>H4="Medium"</formula>
    </cfRule>
  </conditionalFormatting>
  <conditionalFormatting sqref="J4:J9">
    <cfRule type="expression" dxfId="59" priority="8">
      <formula>J4="Yes"</formula>
    </cfRule>
    <cfRule type="expression" dxfId="58" priority="9">
      <formula>J4="Later"</formula>
    </cfRule>
  </conditionalFormatting>
  <conditionalFormatting sqref="K4:K9">
    <cfRule type="expression" dxfId="57" priority="1">
      <formula>K4="Pass"</formula>
    </cfRule>
    <cfRule type="expression" dxfId="56" priority="2">
      <formula>K4="Fail"</formula>
    </cfRule>
    <cfRule type="expression" dxfId="55" priority="3">
      <formula>K4="Blocked"</formula>
    </cfRule>
    <cfRule type="expression" dxfId="54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Lists!$A$2:$A$5</xm:f>
          </x14:formula1>
          <xm:sqref>H4:H9</xm:sqref>
        </x14:dataValidation>
        <x14:dataValidation type="list" xr:uid="{00000000-0002-0000-0600-000001000000}">
          <x14:formula1>
            <xm:f>Lists!$B$2:$B$11</xm:f>
          </x14:formula1>
          <xm:sqref>I4:I9</xm:sqref>
        </x14:dataValidation>
        <x14:dataValidation type="list" xr:uid="{00000000-0002-0000-0600-000002000000}">
          <x14:formula1>
            <xm:f>Lists!$C$2:$C$4</xm:f>
          </x14:formula1>
          <xm:sqref>J4:J9</xm:sqref>
        </x14:dataValidation>
        <x14:dataValidation type="list" xr:uid="{00000000-0002-0000-06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showGridLines="0" topLeftCell="D1" workbookViewId="0">
      <selection sqref="A1:XFD1048576"/>
    </sheetView>
  </sheetViews>
  <sheetFormatPr defaultRowHeight="14.4" x14ac:dyDescent="0.3"/>
  <cols>
    <col min="1" max="1" width="7.77734375" bestFit="1" customWidth="1"/>
    <col min="2" max="2" width="23.21875" bestFit="1" customWidth="1"/>
    <col min="3" max="3" width="46" customWidth="1"/>
    <col min="4" max="4" width="38" customWidth="1"/>
    <col min="5" max="5" width="47.6640625" bestFit="1" customWidth="1"/>
    <col min="6" max="6" width="41.5546875" bestFit="1" customWidth="1"/>
    <col min="7" max="7" width="45.44140625" bestFit="1" customWidth="1"/>
    <col min="8" max="8" width="6.88671875" bestFit="1" customWidth="1"/>
    <col min="9" max="9" width="10.5546875" bestFit="1" customWidth="1"/>
    <col min="10" max="10" width="18.88671875" bestFit="1" customWidth="1"/>
    <col min="11" max="11" width="7.88671875" bestFit="1" customWidth="1"/>
    <col min="12" max="12" width="20.6640625" bestFit="1" customWidth="1"/>
  </cols>
  <sheetData>
    <row r="1" spans="1:12" ht="18" x14ac:dyDescent="0.3">
      <c r="A1" s="18" t="s">
        <v>321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43.2" x14ac:dyDescent="0.3">
      <c r="A4" s="15" t="s">
        <v>322</v>
      </c>
      <c r="B4" s="15" t="s">
        <v>28</v>
      </c>
      <c r="C4" s="15" t="s">
        <v>323</v>
      </c>
      <c r="D4" s="15" t="s">
        <v>324</v>
      </c>
      <c r="E4" s="15" t="s">
        <v>325</v>
      </c>
      <c r="F4" s="14" t="s">
        <v>326</v>
      </c>
      <c r="G4" s="15" t="s">
        <v>327</v>
      </c>
      <c r="H4" s="15" t="s">
        <v>102</v>
      </c>
      <c r="I4" s="15" t="s">
        <v>103</v>
      </c>
      <c r="J4" s="15" t="s">
        <v>104</v>
      </c>
      <c r="K4" s="15" t="s">
        <v>4</v>
      </c>
      <c r="L4" s="15" t="s">
        <v>328</v>
      </c>
    </row>
    <row r="5" spans="1:12" ht="43.2" x14ac:dyDescent="0.3">
      <c r="A5" s="15" t="s">
        <v>329</v>
      </c>
      <c r="B5" s="15" t="s">
        <v>28</v>
      </c>
      <c r="C5" s="15" t="s">
        <v>330</v>
      </c>
      <c r="D5" s="15" t="s">
        <v>331</v>
      </c>
      <c r="E5" s="15" t="s">
        <v>332</v>
      </c>
      <c r="F5" s="14" t="s">
        <v>333</v>
      </c>
      <c r="G5" s="15" t="s">
        <v>334</v>
      </c>
      <c r="H5" s="15" t="s">
        <v>102</v>
      </c>
      <c r="I5" s="15" t="s">
        <v>112</v>
      </c>
      <c r="J5" s="15" t="s">
        <v>104</v>
      </c>
      <c r="K5" s="15" t="s">
        <v>4</v>
      </c>
      <c r="L5" s="15" t="s">
        <v>335</v>
      </c>
    </row>
    <row r="6" spans="1:12" ht="43.2" x14ac:dyDescent="0.3">
      <c r="A6" s="15" t="s">
        <v>336</v>
      </c>
      <c r="B6" s="15" t="s">
        <v>28</v>
      </c>
      <c r="C6" s="15" t="s">
        <v>337</v>
      </c>
      <c r="D6" s="15" t="s">
        <v>338</v>
      </c>
      <c r="E6" s="15" t="s">
        <v>339</v>
      </c>
      <c r="F6" s="14" t="s">
        <v>340</v>
      </c>
      <c r="G6" s="15" t="s">
        <v>341</v>
      </c>
      <c r="H6" s="15" t="s">
        <v>6</v>
      </c>
      <c r="I6" s="15" t="s">
        <v>112</v>
      </c>
      <c r="J6" s="15" t="s">
        <v>104</v>
      </c>
      <c r="K6" s="15" t="s">
        <v>4</v>
      </c>
      <c r="L6" s="15" t="s">
        <v>342</v>
      </c>
    </row>
    <row r="7" spans="1:12" ht="43.2" x14ac:dyDescent="0.3">
      <c r="A7" s="15" t="s">
        <v>343</v>
      </c>
      <c r="B7" s="15" t="s">
        <v>28</v>
      </c>
      <c r="C7" s="15" t="s">
        <v>344</v>
      </c>
      <c r="D7" s="15" t="s">
        <v>345</v>
      </c>
      <c r="E7" s="15" t="s">
        <v>346</v>
      </c>
      <c r="F7" s="14" t="s">
        <v>347</v>
      </c>
      <c r="G7" s="15" t="s">
        <v>348</v>
      </c>
      <c r="H7" s="15" t="s">
        <v>102</v>
      </c>
      <c r="I7" s="15" t="s">
        <v>112</v>
      </c>
      <c r="J7" s="15" t="s">
        <v>104</v>
      </c>
      <c r="K7" s="15" t="s">
        <v>4</v>
      </c>
      <c r="L7" s="15" t="s">
        <v>349</v>
      </c>
    </row>
    <row r="8" spans="1:12" ht="57.6" x14ac:dyDescent="0.3">
      <c r="A8" s="15" t="s">
        <v>350</v>
      </c>
      <c r="B8" s="15" t="s">
        <v>28</v>
      </c>
      <c r="C8" s="15" t="s">
        <v>351</v>
      </c>
      <c r="D8" s="15" t="s">
        <v>352</v>
      </c>
      <c r="E8" s="15" t="s">
        <v>353</v>
      </c>
      <c r="F8" s="14" t="s">
        <v>354</v>
      </c>
      <c r="G8" s="15" t="s">
        <v>355</v>
      </c>
      <c r="H8" s="15" t="s">
        <v>6</v>
      </c>
      <c r="I8" s="15" t="s">
        <v>103</v>
      </c>
      <c r="J8" s="15" t="s">
        <v>143</v>
      </c>
      <c r="K8" s="15" t="s">
        <v>4</v>
      </c>
      <c r="L8" s="15" t="s">
        <v>356</v>
      </c>
    </row>
    <row r="9" spans="1:12" ht="57.6" x14ac:dyDescent="0.3">
      <c r="A9" s="15" t="s">
        <v>357</v>
      </c>
      <c r="B9" s="15" t="s">
        <v>28</v>
      </c>
      <c r="C9" s="15" t="s">
        <v>358</v>
      </c>
      <c r="D9" s="15" t="s">
        <v>359</v>
      </c>
      <c r="E9" s="15" t="s">
        <v>360</v>
      </c>
      <c r="F9" s="14" t="s">
        <v>361</v>
      </c>
      <c r="G9" s="15" t="s">
        <v>362</v>
      </c>
      <c r="H9" s="15" t="s">
        <v>6</v>
      </c>
      <c r="I9" s="15" t="s">
        <v>112</v>
      </c>
      <c r="J9" s="15" t="s">
        <v>104</v>
      </c>
      <c r="K9" s="15" t="s">
        <v>4</v>
      </c>
      <c r="L9" s="15" t="s">
        <v>363</v>
      </c>
    </row>
  </sheetData>
  <mergeCells count="2">
    <mergeCell ref="A2:L2"/>
    <mergeCell ref="A1:L1"/>
  </mergeCells>
  <conditionalFormatting sqref="H4:H9">
    <cfRule type="expression" dxfId="53" priority="5">
      <formula>H4="Critical"</formula>
    </cfRule>
    <cfRule type="expression" dxfId="52" priority="6">
      <formula>H4="High"</formula>
    </cfRule>
    <cfRule type="expression" dxfId="51" priority="7">
      <formula>H4="Medium"</formula>
    </cfRule>
  </conditionalFormatting>
  <conditionalFormatting sqref="J4:J9">
    <cfRule type="expression" dxfId="50" priority="8">
      <formula>J4="Yes"</formula>
    </cfRule>
    <cfRule type="expression" dxfId="49" priority="9">
      <formula>J4="Later"</formula>
    </cfRule>
  </conditionalFormatting>
  <conditionalFormatting sqref="K4:K9">
    <cfRule type="expression" dxfId="48" priority="1">
      <formula>K4="Pass"</formula>
    </cfRule>
    <cfRule type="expression" dxfId="47" priority="2">
      <formula>K4="Fail"</formula>
    </cfRule>
    <cfRule type="expression" dxfId="46" priority="3">
      <formula>K4="Blocked"</formula>
    </cfRule>
    <cfRule type="expression" dxfId="45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700-000000000000}">
          <x14:formula1>
            <xm:f>Lists!$A$2:$A$5</xm:f>
          </x14:formula1>
          <xm:sqref>H4:H9</xm:sqref>
        </x14:dataValidation>
        <x14:dataValidation type="list" xr:uid="{00000000-0002-0000-0700-000001000000}">
          <x14:formula1>
            <xm:f>Lists!$B$2:$B$11</xm:f>
          </x14:formula1>
          <xm:sqref>I4:I9</xm:sqref>
        </x14:dataValidation>
        <x14:dataValidation type="list" xr:uid="{00000000-0002-0000-0700-000002000000}">
          <x14:formula1>
            <xm:f>Lists!$C$2:$C$4</xm:f>
          </x14:formula1>
          <xm:sqref>J4:J9</xm:sqref>
        </x14:dataValidation>
        <x14:dataValidation type="list" xr:uid="{00000000-0002-0000-07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7.88671875" bestFit="1" customWidth="1"/>
    <col min="2" max="2" width="23.44140625" bestFit="1" customWidth="1"/>
    <col min="3" max="3" width="46" customWidth="1"/>
    <col min="4" max="4" width="37.88671875" bestFit="1" customWidth="1"/>
    <col min="5" max="5" width="45.77734375" bestFit="1" customWidth="1"/>
    <col min="6" max="6" width="41.77734375" bestFit="1" customWidth="1"/>
    <col min="7" max="7" width="46" customWidth="1"/>
    <col min="8" max="8" width="8.21875" bestFit="1" customWidth="1"/>
    <col min="9" max="9" width="13.33203125" bestFit="1" customWidth="1"/>
    <col min="10" max="10" width="18.88671875" bestFit="1" customWidth="1"/>
    <col min="11" max="11" width="7.88671875" bestFit="1" customWidth="1"/>
    <col min="12" max="12" width="21" bestFit="1" customWidth="1"/>
  </cols>
  <sheetData>
    <row r="1" spans="1:12" ht="18" x14ac:dyDescent="0.3">
      <c r="A1" s="18" t="s">
        <v>364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57.6" x14ac:dyDescent="0.3">
      <c r="A4" s="15" t="s">
        <v>365</v>
      </c>
      <c r="B4" s="15" t="s">
        <v>30</v>
      </c>
      <c r="C4" s="15" t="s">
        <v>366</v>
      </c>
      <c r="D4" s="15" t="s">
        <v>367</v>
      </c>
      <c r="E4" s="15" t="s">
        <v>368</v>
      </c>
      <c r="F4" s="14" t="s">
        <v>369</v>
      </c>
      <c r="G4" s="15" t="s">
        <v>370</v>
      </c>
      <c r="H4" s="15" t="s">
        <v>6</v>
      </c>
      <c r="I4" s="15" t="s">
        <v>103</v>
      </c>
      <c r="J4" s="15" t="s">
        <v>143</v>
      </c>
      <c r="K4" s="15" t="s">
        <v>4</v>
      </c>
      <c r="L4" s="15" t="s">
        <v>371</v>
      </c>
    </row>
    <row r="5" spans="1:12" ht="57.6" x14ac:dyDescent="0.3">
      <c r="A5" s="15" t="s">
        <v>372</v>
      </c>
      <c r="B5" s="15" t="s">
        <v>30</v>
      </c>
      <c r="C5" s="15" t="s">
        <v>373</v>
      </c>
      <c r="D5" s="15" t="s">
        <v>374</v>
      </c>
      <c r="E5" s="15" t="s">
        <v>375</v>
      </c>
      <c r="F5" s="14" t="s">
        <v>376</v>
      </c>
      <c r="G5" s="15" t="s">
        <v>377</v>
      </c>
      <c r="H5" s="15" t="s">
        <v>102</v>
      </c>
      <c r="I5" s="15" t="s">
        <v>112</v>
      </c>
      <c r="J5" s="15" t="s">
        <v>104</v>
      </c>
      <c r="K5" s="15" t="s">
        <v>4</v>
      </c>
      <c r="L5" s="15" t="s">
        <v>378</v>
      </c>
    </row>
    <row r="6" spans="1:12" ht="43.2" x14ac:dyDescent="0.3">
      <c r="A6" s="15" t="s">
        <v>379</v>
      </c>
      <c r="B6" s="15" t="s">
        <v>30</v>
      </c>
      <c r="C6" s="15" t="s">
        <v>380</v>
      </c>
      <c r="D6" s="15" t="s">
        <v>381</v>
      </c>
      <c r="E6" s="15" t="s">
        <v>382</v>
      </c>
      <c r="F6" s="14" t="s">
        <v>383</v>
      </c>
      <c r="G6" s="15" t="s">
        <v>384</v>
      </c>
      <c r="H6" s="15" t="s">
        <v>6</v>
      </c>
      <c r="I6" s="15" t="s">
        <v>112</v>
      </c>
      <c r="J6" s="15" t="s">
        <v>104</v>
      </c>
      <c r="K6" s="15" t="s">
        <v>4</v>
      </c>
      <c r="L6" s="15" t="s">
        <v>385</v>
      </c>
    </row>
    <row r="7" spans="1:12" ht="43.2" x14ac:dyDescent="0.3">
      <c r="A7" s="15" t="s">
        <v>386</v>
      </c>
      <c r="B7" s="15" t="s">
        <v>30</v>
      </c>
      <c r="C7" s="15" t="s">
        <v>387</v>
      </c>
      <c r="D7" s="15" t="s">
        <v>388</v>
      </c>
      <c r="E7" s="15" t="s">
        <v>389</v>
      </c>
      <c r="F7" s="14" t="s">
        <v>390</v>
      </c>
      <c r="G7" s="15" t="s">
        <v>391</v>
      </c>
      <c r="H7" s="15" t="s">
        <v>254</v>
      </c>
      <c r="I7" s="15" t="s">
        <v>180</v>
      </c>
      <c r="J7" s="15" t="s">
        <v>143</v>
      </c>
      <c r="K7" s="15" t="s">
        <v>4</v>
      </c>
      <c r="L7" s="15" t="s">
        <v>392</v>
      </c>
    </row>
    <row r="8" spans="1:12" ht="43.2" x14ac:dyDescent="0.3">
      <c r="A8" s="15" t="s">
        <v>393</v>
      </c>
      <c r="B8" s="15" t="s">
        <v>30</v>
      </c>
      <c r="C8" s="15" t="s">
        <v>394</v>
      </c>
      <c r="D8" s="15" t="s">
        <v>395</v>
      </c>
      <c r="E8" s="15" t="s">
        <v>396</v>
      </c>
      <c r="F8" s="14" t="s">
        <v>397</v>
      </c>
      <c r="G8" s="15" t="s">
        <v>398</v>
      </c>
      <c r="H8" s="15" t="s">
        <v>102</v>
      </c>
      <c r="I8" s="15" t="s">
        <v>112</v>
      </c>
      <c r="J8" s="15" t="s">
        <v>104</v>
      </c>
      <c r="K8" s="15" t="s">
        <v>4</v>
      </c>
      <c r="L8" s="15" t="s">
        <v>399</v>
      </c>
    </row>
  </sheetData>
  <mergeCells count="2">
    <mergeCell ref="A2:L2"/>
    <mergeCell ref="A1:L1"/>
  </mergeCells>
  <conditionalFormatting sqref="H4:H8">
    <cfRule type="expression" dxfId="44" priority="5">
      <formula>H4="Critical"</formula>
    </cfRule>
    <cfRule type="expression" dxfId="43" priority="6">
      <formula>H4="High"</formula>
    </cfRule>
    <cfRule type="expression" dxfId="42" priority="7">
      <formula>H4="Medium"</formula>
    </cfRule>
  </conditionalFormatting>
  <conditionalFormatting sqref="J4:J8">
    <cfRule type="expression" dxfId="41" priority="8">
      <formula>J4="Yes"</formula>
    </cfRule>
    <cfRule type="expression" dxfId="40" priority="9">
      <formula>J4="Later"</formula>
    </cfRule>
  </conditionalFormatting>
  <conditionalFormatting sqref="K4:K8">
    <cfRule type="expression" dxfId="39" priority="1">
      <formula>K4="Pass"</formula>
    </cfRule>
    <cfRule type="expression" dxfId="38" priority="2">
      <formula>K4="Fail"</formula>
    </cfRule>
    <cfRule type="expression" dxfId="37" priority="3">
      <formula>K4="Blocked"</formula>
    </cfRule>
    <cfRule type="expression" dxfId="36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800-000000000000}">
          <x14:formula1>
            <xm:f>Lists!$A$2:$A$5</xm:f>
          </x14:formula1>
          <xm:sqref>H4:H9</xm:sqref>
        </x14:dataValidation>
        <x14:dataValidation type="list" xr:uid="{00000000-0002-0000-0800-000001000000}">
          <x14:formula1>
            <xm:f>Lists!$B$2:$B$11</xm:f>
          </x14:formula1>
          <xm:sqref>I4:I9</xm:sqref>
        </x14:dataValidation>
        <x14:dataValidation type="list" xr:uid="{00000000-0002-0000-0800-000002000000}">
          <x14:formula1>
            <xm:f>Lists!$C$2:$C$4</xm:f>
          </x14:formula1>
          <xm:sqref>J4:J9</xm:sqref>
        </x14:dataValidation>
        <x14:dataValidation type="list" xr:uid="{00000000-0002-0000-08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7.6640625" bestFit="1" customWidth="1"/>
    <col min="2" max="2" width="22.44140625" bestFit="1" customWidth="1"/>
    <col min="3" max="3" width="46" customWidth="1"/>
    <col min="4" max="4" width="37.77734375" bestFit="1" customWidth="1"/>
    <col min="5" max="5" width="46.5546875" bestFit="1" customWidth="1"/>
    <col min="6" max="6" width="41.88671875" bestFit="1" customWidth="1"/>
    <col min="7" max="7" width="46" customWidth="1"/>
    <col min="8" max="8" width="6.88671875" bestFit="1" customWidth="1"/>
    <col min="9" max="9" width="7.88671875" bestFit="1" customWidth="1"/>
    <col min="10" max="10" width="18.88671875" bestFit="1" customWidth="1"/>
    <col min="11" max="11" width="7.88671875" bestFit="1" customWidth="1"/>
    <col min="12" max="12" width="18.44140625" bestFit="1" customWidth="1"/>
  </cols>
  <sheetData>
    <row r="1" spans="1:12" ht="18" x14ac:dyDescent="0.3">
      <c r="A1" s="18" t="s">
        <v>400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43.2" x14ac:dyDescent="0.3">
      <c r="A4" s="15" t="s">
        <v>401</v>
      </c>
      <c r="B4" s="15" t="s">
        <v>32</v>
      </c>
      <c r="C4" s="15" t="s">
        <v>402</v>
      </c>
      <c r="D4" s="15" t="s">
        <v>403</v>
      </c>
      <c r="E4" s="15" t="s">
        <v>404</v>
      </c>
      <c r="F4" s="14" t="s">
        <v>405</v>
      </c>
      <c r="G4" s="15" t="s">
        <v>406</v>
      </c>
      <c r="H4" s="15" t="s">
        <v>102</v>
      </c>
      <c r="I4" s="15" t="s">
        <v>407</v>
      </c>
      <c r="J4" s="15" t="s">
        <v>269</v>
      </c>
      <c r="K4" s="15" t="s">
        <v>4</v>
      </c>
      <c r="L4" s="15" t="s">
        <v>408</v>
      </c>
    </row>
    <row r="5" spans="1:12" ht="57.6" x14ac:dyDescent="0.3">
      <c r="A5" s="15" t="s">
        <v>409</v>
      </c>
      <c r="B5" s="15" t="s">
        <v>32</v>
      </c>
      <c r="C5" s="15" t="s">
        <v>410</v>
      </c>
      <c r="D5" s="15" t="s">
        <v>411</v>
      </c>
      <c r="E5" s="15" t="s">
        <v>412</v>
      </c>
      <c r="F5" s="14" t="s">
        <v>413</v>
      </c>
      <c r="G5" s="15" t="s">
        <v>414</v>
      </c>
      <c r="H5" s="15" t="s">
        <v>6</v>
      </c>
      <c r="I5" s="15" t="s">
        <v>407</v>
      </c>
      <c r="J5" s="15" t="s">
        <v>143</v>
      </c>
      <c r="K5" s="15" t="s">
        <v>4</v>
      </c>
      <c r="L5" s="15" t="s">
        <v>415</v>
      </c>
    </row>
    <row r="6" spans="1:12" ht="43.2" x14ac:dyDescent="0.3">
      <c r="A6" s="15" t="s">
        <v>416</v>
      </c>
      <c r="B6" s="15" t="s">
        <v>32</v>
      </c>
      <c r="C6" s="15" t="s">
        <v>417</v>
      </c>
      <c r="D6" s="15" t="s">
        <v>418</v>
      </c>
      <c r="E6" s="15" t="s">
        <v>419</v>
      </c>
      <c r="F6" s="14" t="s">
        <v>420</v>
      </c>
      <c r="G6" s="15" t="s">
        <v>421</v>
      </c>
      <c r="H6" s="15" t="s">
        <v>6</v>
      </c>
      <c r="I6" s="15" t="s">
        <v>407</v>
      </c>
      <c r="J6" s="15" t="s">
        <v>143</v>
      </c>
      <c r="K6" s="15" t="s">
        <v>4</v>
      </c>
      <c r="L6" s="15" t="s">
        <v>422</v>
      </c>
    </row>
    <row r="7" spans="1:12" ht="43.2" x14ac:dyDescent="0.3">
      <c r="A7" s="15" t="s">
        <v>423</v>
      </c>
      <c r="B7" s="15" t="s">
        <v>32</v>
      </c>
      <c r="C7" s="15" t="s">
        <v>424</v>
      </c>
      <c r="D7" s="15" t="s">
        <v>425</v>
      </c>
      <c r="E7" s="15" t="s">
        <v>426</v>
      </c>
      <c r="F7" s="14" t="s">
        <v>427</v>
      </c>
      <c r="G7" s="15" t="s">
        <v>428</v>
      </c>
      <c r="H7" s="15" t="s">
        <v>6</v>
      </c>
      <c r="I7" s="15" t="s">
        <v>407</v>
      </c>
      <c r="J7" s="15" t="s">
        <v>269</v>
      </c>
      <c r="K7" s="15" t="s">
        <v>4</v>
      </c>
      <c r="L7" s="15" t="s">
        <v>429</v>
      </c>
    </row>
    <row r="8" spans="1:12" ht="43.2" x14ac:dyDescent="0.3">
      <c r="A8" s="15" t="s">
        <v>430</v>
      </c>
      <c r="B8" s="15" t="s">
        <v>32</v>
      </c>
      <c r="C8" s="15" t="s">
        <v>431</v>
      </c>
      <c r="D8" s="15" t="s">
        <v>432</v>
      </c>
      <c r="E8" s="15" t="s">
        <v>433</v>
      </c>
      <c r="F8" s="14" t="s">
        <v>434</v>
      </c>
      <c r="G8" s="15" t="s">
        <v>435</v>
      </c>
      <c r="H8" s="15" t="s">
        <v>102</v>
      </c>
      <c r="I8" s="15" t="s">
        <v>407</v>
      </c>
      <c r="J8" s="15" t="s">
        <v>104</v>
      </c>
      <c r="K8" s="15" t="s">
        <v>4</v>
      </c>
      <c r="L8" s="15" t="s">
        <v>436</v>
      </c>
    </row>
  </sheetData>
  <mergeCells count="2">
    <mergeCell ref="A2:L2"/>
    <mergeCell ref="A1:L1"/>
  </mergeCells>
  <conditionalFormatting sqref="H4:H8">
    <cfRule type="expression" dxfId="35" priority="5">
      <formula>H4="Critical"</formula>
    </cfRule>
    <cfRule type="expression" dxfId="34" priority="6">
      <formula>H4="High"</formula>
    </cfRule>
    <cfRule type="expression" dxfId="33" priority="7">
      <formula>H4="Medium"</formula>
    </cfRule>
  </conditionalFormatting>
  <conditionalFormatting sqref="J4:J8">
    <cfRule type="expression" dxfId="32" priority="8">
      <formula>J4="Yes"</formula>
    </cfRule>
    <cfRule type="expression" dxfId="31" priority="9">
      <formula>J4="Later"</formula>
    </cfRule>
  </conditionalFormatting>
  <conditionalFormatting sqref="K4:K8">
    <cfRule type="expression" dxfId="30" priority="1">
      <formula>K4="Pass"</formula>
    </cfRule>
    <cfRule type="expression" dxfId="29" priority="2">
      <formula>K4="Fail"</formula>
    </cfRule>
    <cfRule type="expression" dxfId="28" priority="3">
      <formula>K4="Blocked"</formula>
    </cfRule>
    <cfRule type="expression" dxfId="27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900-000000000000}">
          <x14:formula1>
            <xm:f>Lists!$A$2:$A$5</xm:f>
          </x14:formula1>
          <xm:sqref>H4:H9</xm:sqref>
        </x14:dataValidation>
        <x14:dataValidation type="list" xr:uid="{00000000-0002-0000-0900-000001000000}">
          <x14:formula1>
            <xm:f>Lists!$B$2:$B$11</xm:f>
          </x14:formula1>
          <xm:sqref>I4:I9</xm:sqref>
        </x14:dataValidation>
        <x14:dataValidation type="list" xr:uid="{00000000-0002-0000-0900-000002000000}">
          <x14:formula1>
            <xm:f>Lists!$C$2:$C$4</xm:f>
          </x14:formula1>
          <xm:sqref>J4:J9</xm:sqref>
        </x14:dataValidation>
        <x14:dataValidation type="list" xr:uid="{00000000-0002-0000-09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9" bestFit="1" customWidth="1"/>
    <col min="2" max="2" width="23.88671875" bestFit="1" customWidth="1"/>
    <col min="3" max="3" width="45.5546875" bestFit="1" customWidth="1"/>
    <col min="4" max="4" width="37.77734375" bestFit="1" customWidth="1"/>
    <col min="5" max="5" width="53.77734375" bestFit="1" customWidth="1"/>
    <col min="6" max="6" width="40.77734375" bestFit="1" customWidth="1"/>
    <col min="7" max="7" width="46" customWidth="1"/>
    <col min="8" max="8" width="8.21875" bestFit="1" customWidth="1"/>
    <col min="9" max="9" width="12.77734375" bestFit="1" customWidth="1"/>
    <col min="10" max="10" width="18.88671875" bestFit="1" customWidth="1"/>
    <col min="11" max="11" width="7.88671875" bestFit="1" customWidth="1"/>
    <col min="12" max="12" width="14.33203125" bestFit="1" customWidth="1"/>
  </cols>
  <sheetData>
    <row r="1" spans="1:12" ht="18" x14ac:dyDescent="0.3">
      <c r="A1" s="18" t="s">
        <v>437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43.2" x14ac:dyDescent="0.3">
      <c r="A4" s="15" t="s">
        <v>438</v>
      </c>
      <c r="B4" s="15" t="s">
        <v>34</v>
      </c>
      <c r="C4" s="15" t="s">
        <v>439</v>
      </c>
      <c r="D4" s="15" t="s">
        <v>440</v>
      </c>
      <c r="E4" s="15" t="s">
        <v>441</v>
      </c>
      <c r="F4" s="14" t="s">
        <v>442</v>
      </c>
      <c r="G4" s="15" t="s">
        <v>443</v>
      </c>
      <c r="H4" s="15" t="s">
        <v>6</v>
      </c>
      <c r="I4" s="15" t="s">
        <v>103</v>
      </c>
      <c r="J4" s="15" t="s">
        <v>143</v>
      </c>
      <c r="K4" s="15" t="s">
        <v>4</v>
      </c>
      <c r="L4" s="15" t="s">
        <v>444</v>
      </c>
    </row>
    <row r="5" spans="1:12" ht="43.2" x14ac:dyDescent="0.3">
      <c r="A5" s="15" t="s">
        <v>445</v>
      </c>
      <c r="B5" s="15" t="s">
        <v>34</v>
      </c>
      <c r="C5" s="15" t="s">
        <v>446</v>
      </c>
      <c r="D5" s="15" t="s">
        <v>447</v>
      </c>
      <c r="E5" s="15" t="s">
        <v>448</v>
      </c>
      <c r="F5" s="14" t="s">
        <v>449</v>
      </c>
      <c r="G5" s="15" t="s">
        <v>450</v>
      </c>
      <c r="H5" s="15" t="s">
        <v>6</v>
      </c>
      <c r="I5" s="15" t="s">
        <v>231</v>
      </c>
      <c r="J5" s="15" t="s">
        <v>143</v>
      </c>
      <c r="K5" s="15" t="s">
        <v>4</v>
      </c>
      <c r="L5" s="15" t="s">
        <v>451</v>
      </c>
    </row>
    <row r="6" spans="1:12" ht="43.2" x14ac:dyDescent="0.3">
      <c r="A6" s="15" t="s">
        <v>452</v>
      </c>
      <c r="B6" s="15" t="s">
        <v>34</v>
      </c>
      <c r="C6" s="15" t="s">
        <v>453</v>
      </c>
      <c r="D6" s="15" t="s">
        <v>454</v>
      </c>
      <c r="E6" s="15" t="s">
        <v>455</v>
      </c>
      <c r="F6" s="14" t="s">
        <v>456</v>
      </c>
      <c r="G6" s="15" t="s">
        <v>457</v>
      </c>
      <c r="H6" s="15" t="s">
        <v>6</v>
      </c>
      <c r="I6" s="15" t="s">
        <v>112</v>
      </c>
      <c r="J6" s="15" t="s">
        <v>143</v>
      </c>
      <c r="K6" s="15" t="s">
        <v>4</v>
      </c>
      <c r="L6" s="15" t="s">
        <v>458</v>
      </c>
    </row>
    <row r="7" spans="1:12" ht="43.2" x14ac:dyDescent="0.3">
      <c r="A7" s="15" t="s">
        <v>459</v>
      </c>
      <c r="B7" s="15" t="s">
        <v>34</v>
      </c>
      <c r="C7" s="15" t="s">
        <v>460</v>
      </c>
      <c r="D7" s="15" t="s">
        <v>461</v>
      </c>
      <c r="E7" s="15" t="s">
        <v>462</v>
      </c>
      <c r="F7" s="14" t="s">
        <v>463</v>
      </c>
      <c r="G7" s="15" t="s">
        <v>464</v>
      </c>
      <c r="H7" s="15" t="s">
        <v>254</v>
      </c>
      <c r="I7" s="15" t="s">
        <v>112</v>
      </c>
      <c r="J7" s="15" t="s">
        <v>269</v>
      </c>
      <c r="K7" s="15" t="s">
        <v>4</v>
      </c>
      <c r="L7" s="15" t="s">
        <v>465</v>
      </c>
    </row>
    <row r="8" spans="1:12" ht="72" x14ac:dyDescent="0.3">
      <c r="A8" s="15" t="s">
        <v>466</v>
      </c>
      <c r="B8" s="15" t="s">
        <v>34</v>
      </c>
      <c r="C8" s="15" t="s">
        <v>467</v>
      </c>
      <c r="D8" s="15" t="s">
        <v>468</v>
      </c>
      <c r="E8" s="15" t="s">
        <v>469</v>
      </c>
      <c r="F8" s="14" t="s">
        <v>470</v>
      </c>
      <c r="G8" s="15" t="s">
        <v>471</v>
      </c>
      <c r="H8" s="15" t="s">
        <v>254</v>
      </c>
      <c r="I8" s="15" t="s">
        <v>142</v>
      </c>
      <c r="J8" s="15" t="s">
        <v>104</v>
      </c>
      <c r="K8" s="15" t="s">
        <v>4</v>
      </c>
      <c r="L8" s="15" t="s">
        <v>472</v>
      </c>
    </row>
  </sheetData>
  <mergeCells count="2">
    <mergeCell ref="A2:L2"/>
    <mergeCell ref="A1:L1"/>
  </mergeCells>
  <conditionalFormatting sqref="H4:H8">
    <cfRule type="expression" dxfId="26" priority="5">
      <formula>H4="Critical"</formula>
    </cfRule>
    <cfRule type="expression" dxfId="25" priority="6">
      <formula>H4="High"</formula>
    </cfRule>
    <cfRule type="expression" dxfId="24" priority="7">
      <formula>H4="Medium"</formula>
    </cfRule>
  </conditionalFormatting>
  <conditionalFormatting sqref="J4:J8">
    <cfRule type="expression" dxfId="23" priority="8">
      <formula>J4="Yes"</formula>
    </cfRule>
    <cfRule type="expression" dxfId="22" priority="9">
      <formula>J4="Later"</formula>
    </cfRule>
  </conditionalFormatting>
  <conditionalFormatting sqref="K4:K8">
    <cfRule type="expression" dxfId="21" priority="1">
      <formula>K4="Pass"</formula>
    </cfRule>
    <cfRule type="expression" dxfId="20" priority="2">
      <formula>K4="Fail"</formula>
    </cfRule>
    <cfRule type="expression" dxfId="19" priority="3">
      <formula>K4="Blocked"</formula>
    </cfRule>
    <cfRule type="expression" dxfId="18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A00-000000000000}">
          <x14:formula1>
            <xm:f>Lists!$A$2:$A$5</xm:f>
          </x14:formula1>
          <xm:sqref>H4:H9</xm:sqref>
        </x14:dataValidation>
        <x14:dataValidation type="list" xr:uid="{00000000-0002-0000-0A00-000001000000}">
          <x14:formula1>
            <xm:f>Lists!$B$2:$B$11</xm:f>
          </x14:formula1>
          <xm:sqref>I4:I9</xm:sqref>
        </x14:dataValidation>
        <x14:dataValidation type="list" xr:uid="{00000000-0002-0000-0A00-000002000000}">
          <x14:formula1>
            <xm:f>Lists!$C$2:$C$4</xm:f>
          </x14:formula1>
          <xm:sqref>J4:J9</xm:sqref>
        </x14:dataValidation>
        <x14:dataValidation type="list" xr:uid="{00000000-0002-0000-0A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7.77734375" bestFit="1" customWidth="1"/>
    <col min="2" max="2" width="25.44140625" bestFit="1" customWidth="1"/>
    <col min="3" max="3" width="45.5546875" bestFit="1" customWidth="1"/>
    <col min="4" max="4" width="37.33203125" bestFit="1" customWidth="1"/>
    <col min="5" max="5" width="45" bestFit="1" customWidth="1"/>
    <col min="6" max="6" width="39.6640625" bestFit="1" customWidth="1"/>
    <col min="7" max="7" width="46" customWidth="1"/>
    <col min="8" max="8" width="6.88671875" bestFit="1" customWidth="1"/>
    <col min="9" max="9" width="12.109375" bestFit="1" customWidth="1"/>
    <col min="10" max="10" width="18.88671875" bestFit="1" customWidth="1"/>
    <col min="11" max="11" width="7.88671875" bestFit="1" customWidth="1"/>
    <col min="12" max="12" width="17.21875" bestFit="1" customWidth="1"/>
  </cols>
  <sheetData>
    <row r="1" spans="1:12" ht="18" x14ac:dyDescent="0.3">
      <c r="A1" s="18" t="s">
        <v>473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57.6" x14ac:dyDescent="0.3">
      <c r="A4" s="15" t="s">
        <v>474</v>
      </c>
      <c r="B4" s="15" t="s">
        <v>36</v>
      </c>
      <c r="C4" s="15" t="s">
        <v>475</v>
      </c>
      <c r="D4" s="15" t="s">
        <v>476</v>
      </c>
      <c r="E4" s="15" t="s">
        <v>477</v>
      </c>
      <c r="F4" s="14" t="s">
        <v>478</v>
      </c>
      <c r="G4" s="15" t="s">
        <v>479</v>
      </c>
      <c r="H4" s="15" t="s">
        <v>102</v>
      </c>
      <c r="I4" s="15" t="s">
        <v>480</v>
      </c>
      <c r="J4" s="15" t="s">
        <v>143</v>
      </c>
      <c r="K4" s="15" t="s">
        <v>4</v>
      </c>
      <c r="L4" s="15" t="s">
        <v>481</v>
      </c>
    </row>
    <row r="5" spans="1:12" ht="43.2" x14ac:dyDescent="0.3">
      <c r="A5" s="15" t="s">
        <v>482</v>
      </c>
      <c r="B5" s="15" t="s">
        <v>36</v>
      </c>
      <c r="C5" s="15" t="s">
        <v>483</v>
      </c>
      <c r="D5" s="15" t="s">
        <v>484</v>
      </c>
      <c r="E5" s="15" t="s">
        <v>485</v>
      </c>
      <c r="F5" s="14" t="s">
        <v>486</v>
      </c>
      <c r="G5" s="15" t="s">
        <v>487</v>
      </c>
      <c r="H5" s="15" t="s">
        <v>6</v>
      </c>
      <c r="I5" s="15" t="s">
        <v>480</v>
      </c>
      <c r="J5" s="15" t="s">
        <v>143</v>
      </c>
      <c r="K5" s="15" t="s">
        <v>4</v>
      </c>
      <c r="L5" s="15" t="s">
        <v>488</v>
      </c>
    </row>
    <row r="6" spans="1:12" ht="43.2" x14ac:dyDescent="0.3">
      <c r="A6" s="15" t="s">
        <v>489</v>
      </c>
      <c r="B6" s="15" t="s">
        <v>36</v>
      </c>
      <c r="C6" s="15" t="s">
        <v>490</v>
      </c>
      <c r="D6" s="15" t="s">
        <v>491</v>
      </c>
      <c r="E6" s="15" t="s">
        <v>492</v>
      </c>
      <c r="F6" s="14" t="s">
        <v>493</v>
      </c>
      <c r="G6" s="15" t="s">
        <v>494</v>
      </c>
      <c r="H6" s="15" t="s">
        <v>102</v>
      </c>
      <c r="I6" s="15" t="s">
        <v>142</v>
      </c>
      <c r="J6" s="15" t="s">
        <v>143</v>
      </c>
      <c r="K6" s="15" t="s">
        <v>4</v>
      </c>
      <c r="L6" s="15" t="s">
        <v>495</v>
      </c>
    </row>
    <row r="7" spans="1:12" ht="57.6" x14ac:dyDescent="0.3">
      <c r="A7" s="15" t="s">
        <v>496</v>
      </c>
      <c r="B7" s="15" t="s">
        <v>36</v>
      </c>
      <c r="C7" s="15" t="s">
        <v>497</v>
      </c>
      <c r="D7" s="15" t="s">
        <v>498</v>
      </c>
      <c r="E7" s="15" t="s">
        <v>499</v>
      </c>
      <c r="F7" s="14" t="s">
        <v>500</v>
      </c>
      <c r="G7" s="15" t="s">
        <v>501</v>
      </c>
      <c r="H7" s="15" t="s">
        <v>6</v>
      </c>
      <c r="I7" s="15" t="s">
        <v>480</v>
      </c>
      <c r="J7" s="15" t="s">
        <v>143</v>
      </c>
      <c r="K7" s="15" t="s">
        <v>4</v>
      </c>
      <c r="L7" s="15" t="s">
        <v>502</v>
      </c>
    </row>
    <row r="8" spans="1:12" ht="57.6" x14ac:dyDescent="0.3">
      <c r="A8" s="15" t="s">
        <v>503</v>
      </c>
      <c r="B8" s="15" t="s">
        <v>36</v>
      </c>
      <c r="C8" s="15" t="s">
        <v>504</v>
      </c>
      <c r="D8" s="15" t="s">
        <v>505</v>
      </c>
      <c r="E8" s="15" t="s">
        <v>506</v>
      </c>
      <c r="F8" s="14" t="s">
        <v>507</v>
      </c>
      <c r="G8" s="15" t="s">
        <v>508</v>
      </c>
      <c r="H8" s="15" t="s">
        <v>102</v>
      </c>
      <c r="I8" s="15" t="s">
        <v>142</v>
      </c>
      <c r="J8" s="15" t="s">
        <v>269</v>
      </c>
      <c r="K8" s="15" t="s">
        <v>4</v>
      </c>
      <c r="L8" s="15" t="s">
        <v>509</v>
      </c>
    </row>
  </sheetData>
  <mergeCells count="2">
    <mergeCell ref="A2:L2"/>
    <mergeCell ref="A1:L1"/>
  </mergeCells>
  <conditionalFormatting sqref="H4:H8">
    <cfRule type="expression" dxfId="17" priority="5">
      <formula>H4="Critical"</formula>
    </cfRule>
    <cfRule type="expression" dxfId="16" priority="6">
      <formula>H4="High"</formula>
    </cfRule>
    <cfRule type="expression" dxfId="15" priority="7">
      <formula>H4="Medium"</formula>
    </cfRule>
  </conditionalFormatting>
  <conditionalFormatting sqref="J4:J8">
    <cfRule type="expression" dxfId="14" priority="8">
      <formula>J4="Yes"</formula>
    </cfRule>
    <cfRule type="expression" dxfId="13" priority="9">
      <formula>J4="Later"</formula>
    </cfRule>
  </conditionalFormatting>
  <conditionalFormatting sqref="K4:K8">
    <cfRule type="expression" dxfId="12" priority="1">
      <formula>K4="Pass"</formula>
    </cfRule>
    <cfRule type="expression" dxfId="11" priority="2">
      <formula>K4="Fail"</formula>
    </cfRule>
    <cfRule type="expression" dxfId="10" priority="3">
      <formula>K4="Blocked"</formula>
    </cfRule>
    <cfRule type="expression" dxfId="9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B00-000000000000}">
          <x14:formula1>
            <xm:f>Lists!$A$2:$A$5</xm:f>
          </x14:formula1>
          <xm:sqref>H4:H9</xm:sqref>
        </x14:dataValidation>
        <x14:dataValidation type="list" xr:uid="{00000000-0002-0000-0B00-000001000000}">
          <x14:formula1>
            <xm:f>Lists!$B$2:$B$11</xm:f>
          </x14:formula1>
          <xm:sqref>I4:I9</xm:sqref>
        </x14:dataValidation>
        <x14:dataValidation type="list" xr:uid="{00000000-0002-0000-0B00-000002000000}">
          <x14:formula1>
            <xm:f>Lists!$C$2:$C$4</xm:f>
          </x14:formula1>
          <xm:sqref>J4:J9</xm:sqref>
        </x14:dataValidation>
        <x14:dataValidation type="list" xr:uid="{00000000-0002-0000-0B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"/>
  <sheetViews>
    <sheetView showGridLines="0" topLeftCell="D1" workbookViewId="0">
      <selection sqref="A1:XFD1048576"/>
    </sheetView>
  </sheetViews>
  <sheetFormatPr defaultRowHeight="14.4" x14ac:dyDescent="0.3"/>
  <cols>
    <col min="1" max="1" width="7.6640625" bestFit="1" customWidth="1"/>
    <col min="2" max="2" width="10.5546875" bestFit="1" customWidth="1"/>
    <col min="3" max="3" width="46" customWidth="1"/>
    <col min="4" max="4" width="37.109375" bestFit="1" customWidth="1"/>
    <col min="5" max="5" width="44.5546875" bestFit="1" customWidth="1"/>
    <col min="6" max="6" width="39.5546875" bestFit="1" customWidth="1"/>
    <col min="7" max="7" width="46.77734375" bestFit="1" customWidth="1"/>
    <col min="8" max="8" width="6.88671875" bestFit="1" customWidth="1"/>
    <col min="9" max="9" width="4.77734375" bestFit="1" customWidth="1"/>
    <col min="10" max="10" width="18.88671875" bestFit="1" customWidth="1"/>
    <col min="11" max="11" width="7.88671875" bestFit="1" customWidth="1"/>
    <col min="12" max="12" width="21.33203125" bestFit="1" customWidth="1"/>
  </cols>
  <sheetData>
    <row r="1" spans="1:12" ht="18" x14ac:dyDescent="0.3">
      <c r="A1" s="18" t="s">
        <v>510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6" t="s">
        <v>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13" t="s">
        <v>87</v>
      </c>
      <c r="B3" s="13" t="s">
        <v>12</v>
      </c>
      <c r="C3" s="13" t="s">
        <v>88</v>
      </c>
      <c r="D3" s="13" t="s">
        <v>89</v>
      </c>
      <c r="E3" s="13" t="s">
        <v>90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42</v>
      </c>
      <c r="L3" s="13" t="s">
        <v>69</v>
      </c>
    </row>
    <row r="4" spans="1:12" ht="72" x14ac:dyDescent="0.3">
      <c r="A4" s="15" t="s">
        <v>511</v>
      </c>
      <c r="B4" s="15" t="s">
        <v>38</v>
      </c>
      <c r="C4" s="15" t="s">
        <v>512</v>
      </c>
      <c r="D4" s="15" t="s">
        <v>513</v>
      </c>
      <c r="E4" s="15" t="s">
        <v>514</v>
      </c>
      <c r="F4" s="14" t="s">
        <v>515</v>
      </c>
      <c r="G4" s="15" t="s">
        <v>516</v>
      </c>
      <c r="H4" s="15" t="s">
        <v>102</v>
      </c>
      <c r="I4" s="15" t="s">
        <v>517</v>
      </c>
      <c r="J4" s="15" t="s">
        <v>104</v>
      </c>
      <c r="K4" s="15" t="s">
        <v>4</v>
      </c>
      <c r="L4" s="15" t="s">
        <v>518</v>
      </c>
    </row>
    <row r="5" spans="1:12" ht="57.6" x14ac:dyDescent="0.3">
      <c r="A5" s="15" t="s">
        <v>519</v>
      </c>
      <c r="B5" s="15" t="s">
        <v>38</v>
      </c>
      <c r="C5" s="15" t="s">
        <v>520</v>
      </c>
      <c r="D5" s="15" t="s">
        <v>521</v>
      </c>
      <c r="E5" s="15" t="s">
        <v>522</v>
      </c>
      <c r="F5" s="14" t="s">
        <v>523</v>
      </c>
      <c r="G5" s="15" t="s">
        <v>524</v>
      </c>
      <c r="H5" s="15" t="s">
        <v>102</v>
      </c>
      <c r="I5" s="15" t="s">
        <v>517</v>
      </c>
      <c r="J5" s="15" t="s">
        <v>104</v>
      </c>
      <c r="K5" s="15" t="s">
        <v>4</v>
      </c>
      <c r="L5" s="15" t="s">
        <v>525</v>
      </c>
    </row>
    <row r="6" spans="1:12" ht="72" x14ac:dyDescent="0.3">
      <c r="A6" s="15" t="s">
        <v>526</v>
      </c>
      <c r="B6" s="15" t="s">
        <v>38</v>
      </c>
      <c r="C6" s="15" t="s">
        <v>527</v>
      </c>
      <c r="D6" s="15" t="s">
        <v>528</v>
      </c>
      <c r="E6" s="15" t="s">
        <v>529</v>
      </c>
      <c r="F6" s="14" t="s">
        <v>530</v>
      </c>
      <c r="G6" s="15" t="s">
        <v>531</v>
      </c>
      <c r="H6" s="15" t="s">
        <v>102</v>
      </c>
      <c r="I6" s="15" t="s">
        <v>517</v>
      </c>
      <c r="J6" s="15" t="s">
        <v>104</v>
      </c>
      <c r="K6" s="15" t="s">
        <v>4</v>
      </c>
      <c r="L6" s="15" t="s">
        <v>532</v>
      </c>
    </row>
    <row r="7" spans="1:12" ht="43.2" x14ac:dyDescent="0.3">
      <c r="A7" s="15" t="s">
        <v>533</v>
      </c>
      <c r="B7" s="15" t="s">
        <v>38</v>
      </c>
      <c r="C7" s="15" t="s">
        <v>534</v>
      </c>
      <c r="D7" s="15" t="s">
        <v>535</v>
      </c>
      <c r="E7" s="15" t="s">
        <v>536</v>
      </c>
      <c r="F7" s="14" t="s">
        <v>537</v>
      </c>
      <c r="G7" s="15" t="s">
        <v>538</v>
      </c>
      <c r="H7" s="15" t="s">
        <v>6</v>
      </c>
      <c r="I7" s="15" t="s">
        <v>517</v>
      </c>
      <c r="J7" s="15" t="s">
        <v>143</v>
      </c>
      <c r="K7" s="15" t="s">
        <v>4</v>
      </c>
      <c r="L7" s="15" t="s">
        <v>539</v>
      </c>
    </row>
  </sheetData>
  <mergeCells count="2">
    <mergeCell ref="A2:L2"/>
    <mergeCell ref="A1:L1"/>
  </mergeCells>
  <conditionalFormatting sqref="H4:H7">
    <cfRule type="expression" dxfId="8" priority="5">
      <formula>H4="Critical"</formula>
    </cfRule>
    <cfRule type="expression" dxfId="7" priority="6">
      <formula>H4="High"</formula>
    </cfRule>
    <cfRule type="expression" dxfId="6" priority="7">
      <formula>H4="Medium"</formula>
    </cfRule>
  </conditionalFormatting>
  <conditionalFormatting sqref="J4:J7">
    <cfRule type="expression" dxfId="5" priority="8">
      <formula>J4="Yes"</formula>
    </cfRule>
    <cfRule type="expression" dxfId="4" priority="9">
      <formula>J4="Later"</formula>
    </cfRule>
  </conditionalFormatting>
  <conditionalFormatting sqref="K4:K7">
    <cfRule type="expression" dxfId="3" priority="1">
      <formula>K4="Pass"</formula>
    </cfRule>
    <cfRule type="expression" dxfId="2" priority="2">
      <formula>K4="Fail"</formula>
    </cfRule>
    <cfRule type="expression" dxfId="1" priority="3">
      <formula>K4="Blocked"</formula>
    </cfRule>
    <cfRule type="expression" dxfId="0" priority="4">
      <formula>K4="Not Run"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C00-000000000000}">
          <x14:formula1>
            <xm:f>Lists!$A$2:$A$5</xm:f>
          </x14:formula1>
          <xm:sqref>H4:H9</xm:sqref>
        </x14:dataValidation>
        <x14:dataValidation type="list" xr:uid="{00000000-0002-0000-0C00-000001000000}">
          <x14:formula1>
            <xm:f>Lists!$B$2:$B$11</xm:f>
          </x14:formula1>
          <xm:sqref>I4:I9</xm:sqref>
        </x14:dataValidation>
        <x14:dataValidation type="list" xr:uid="{00000000-0002-0000-0C00-000002000000}">
          <x14:formula1>
            <xm:f>Lists!$C$2:$C$4</xm:f>
          </x14:formula1>
          <xm:sqref>J4:J9</xm:sqref>
        </x14:dataValidation>
        <x14:dataValidation type="list" xr:uid="{00000000-0002-0000-0C00-000003000000}">
          <x14:formula1>
            <xm:f>Lists!$D$2:$D$5</xm:f>
          </x14:formula1>
          <xm:sqref>K4:K9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tabSelected="1" workbookViewId="0">
      <selection sqref="A1:XFD1048576"/>
    </sheetView>
  </sheetViews>
  <sheetFormatPr defaultRowHeight="14.4" x14ac:dyDescent="0.3"/>
  <cols>
    <col min="1" max="1" width="8.21875" bestFit="1" customWidth="1"/>
    <col min="2" max="2" width="14.6640625" bestFit="1" customWidth="1"/>
    <col min="3" max="3" width="11.21875" bestFit="1" customWidth="1"/>
    <col min="4" max="4" width="7.88671875" bestFit="1" customWidth="1"/>
  </cols>
  <sheetData>
    <row r="1" spans="1:4" x14ac:dyDescent="0.3">
      <c r="A1" t="s">
        <v>93</v>
      </c>
      <c r="B1" t="s">
        <v>94</v>
      </c>
      <c r="C1" t="s">
        <v>540</v>
      </c>
      <c r="D1" t="s">
        <v>42</v>
      </c>
    </row>
    <row r="2" spans="1:4" x14ac:dyDescent="0.3">
      <c r="A2" t="s">
        <v>102</v>
      </c>
      <c r="B2" t="s">
        <v>541</v>
      </c>
      <c r="C2" t="s">
        <v>104</v>
      </c>
      <c r="D2" t="s">
        <v>4</v>
      </c>
    </row>
    <row r="3" spans="1:4" x14ac:dyDescent="0.3">
      <c r="A3" t="s">
        <v>6</v>
      </c>
      <c r="B3" t="s">
        <v>112</v>
      </c>
      <c r="C3" t="s">
        <v>143</v>
      </c>
      <c r="D3" t="s">
        <v>48</v>
      </c>
    </row>
    <row r="4" spans="1:4" x14ac:dyDescent="0.3">
      <c r="A4" t="s">
        <v>254</v>
      </c>
      <c r="B4" t="s">
        <v>103</v>
      </c>
      <c r="C4" t="s">
        <v>269</v>
      </c>
      <c r="D4" t="s">
        <v>50</v>
      </c>
    </row>
    <row r="5" spans="1:4" x14ac:dyDescent="0.3">
      <c r="A5" t="s">
        <v>542</v>
      </c>
      <c r="B5" t="s">
        <v>142</v>
      </c>
      <c r="D5" t="s">
        <v>52</v>
      </c>
    </row>
    <row r="6" spans="1:4" x14ac:dyDescent="0.3">
      <c r="B6" t="s">
        <v>180</v>
      </c>
    </row>
    <row r="7" spans="1:4" x14ac:dyDescent="0.3">
      <c r="B7" t="s">
        <v>120</v>
      </c>
    </row>
    <row r="8" spans="1:4" x14ac:dyDescent="0.3">
      <c r="B8" t="s">
        <v>231</v>
      </c>
    </row>
    <row r="9" spans="1:4" x14ac:dyDescent="0.3">
      <c r="B9" t="s">
        <v>407</v>
      </c>
    </row>
    <row r="10" spans="1:4" x14ac:dyDescent="0.3">
      <c r="B10" t="s">
        <v>480</v>
      </c>
    </row>
    <row r="11" spans="1:4" x14ac:dyDescent="0.3">
      <c r="B11" t="s">
        <v>517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README</vt:lpstr>
      <vt:lpstr>10_Authorization_Processing</vt:lpstr>
      <vt:lpstr>20_Reversal_Void</vt:lpstr>
      <vt:lpstr>30_Settlement_Reconciliation</vt:lpstr>
      <vt:lpstr>40_POS_Terminal_Entry_Modes</vt:lpstr>
      <vt:lpstr>50_Switch_Routing_Middleware</vt:lpstr>
      <vt:lpstr>60_Issuer_Host_Response</vt:lpstr>
      <vt:lpstr>70_Refunds_Adjustments</vt:lpstr>
      <vt:lpstr>80_Security_Compliance</vt:lpstr>
      <vt:lpstr>90_Monitoring_Audit_Trail</vt:lpstr>
      <vt:lpstr>100_Performance_Reliability</vt:lpstr>
      <vt:lpstr>110_E2E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Tan, RamonJr</cp:lastModifiedBy>
  <dcterms:modified xsi:type="dcterms:W3CDTF">2026-03-27T06:17:18Z</dcterms:modified>
</cp:coreProperties>
</file>